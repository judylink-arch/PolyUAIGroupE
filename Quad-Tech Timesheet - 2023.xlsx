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zechung/Documents/PolyUAIGroupE/"/>
    </mc:Choice>
  </mc:AlternateContent>
  <xr:revisionPtr revIDLastSave="0" documentId="13_ncr:1_{4204B7DD-CAEC-6040-BE31-C37B8D0D1EC0}" xr6:coauthVersionLast="47" xr6:coauthVersionMax="47" xr10:uidLastSave="{00000000-0000-0000-0000-000000000000}"/>
  <bookViews>
    <workbookView xWindow="1680" yWindow="600" windowWidth="29040" windowHeight="17320" xr2:uid="{00000000-000D-0000-FFFF-FFFF00000000}"/>
  </bookViews>
  <sheets>
    <sheet name="2023 Time Sheet" sheetId="1" r:id="rId1"/>
    <sheet name="Quad-Tech" sheetId="3" state="hidden" r:id="rId2"/>
    <sheet name="OLD" sheetId="2" state="hidden" r:id="rId3"/>
  </sheets>
  <definedNames>
    <definedName name="_xlnm._FilterDatabase" localSheetId="2" hidden="1">OLD!$A$1:$B$1</definedName>
    <definedName name="_xlnm._FilterDatabase" localSheetId="1" hidden="1">'Quad-Tech'!$A$1:$B$366</definedName>
    <definedName name="AL">OLD!$A$3:$A$30</definedName>
    <definedName name="Month">'Quad-Tech'!$C$2:$C$13</definedName>
    <definedName name="_xlnm.Print_Area" localSheetId="0">'2023 Time Sheet'!$A$1:$P$54</definedName>
    <definedName name="PRO023_">OLD!#REF!</definedName>
    <definedName name="工程編號">OLD!$A$2:$A$30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CT9" i="1" l="1"/>
  <c r="D9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Y40" i="1" l="1"/>
  <c r="Z40" i="1"/>
  <c r="D47" i="1" l="1"/>
  <c r="CQ10" i="1"/>
  <c r="CR10" i="1"/>
  <c r="CQ11" i="1"/>
  <c r="CR11" i="1"/>
  <c r="CQ12" i="1"/>
  <c r="CR12" i="1"/>
  <c r="CQ13" i="1"/>
  <c r="CR13" i="1"/>
  <c r="CQ14" i="1"/>
  <c r="CR14" i="1"/>
  <c r="CQ15" i="1"/>
  <c r="CR15" i="1"/>
  <c r="CQ16" i="1"/>
  <c r="CR16" i="1"/>
  <c r="CQ17" i="1"/>
  <c r="CR17" i="1"/>
  <c r="CQ18" i="1"/>
  <c r="CR18" i="1"/>
  <c r="CQ19" i="1"/>
  <c r="CR19" i="1"/>
  <c r="CQ20" i="1"/>
  <c r="CR20" i="1"/>
  <c r="CQ21" i="1"/>
  <c r="CR21" i="1"/>
  <c r="CQ22" i="1"/>
  <c r="CR22" i="1"/>
  <c r="CQ23" i="1"/>
  <c r="CR23" i="1"/>
  <c r="CQ24" i="1"/>
  <c r="CR24" i="1"/>
  <c r="CQ25" i="1"/>
  <c r="CR25" i="1"/>
  <c r="CQ26" i="1"/>
  <c r="CR26" i="1"/>
  <c r="CQ27" i="1"/>
  <c r="CR27" i="1"/>
  <c r="CQ28" i="1"/>
  <c r="CR28" i="1"/>
  <c r="CQ29" i="1"/>
  <c r="CR29" i="1"/>
  <c r="CQ30" i="1"/>
  <c r="CR30" i="1"/>
  <c r="CQ31" i="1"/>
  <c r="CR31" i="1"/>
  <c r="CQ32" i="1"/>
  <c r="CR32" i="1"/>
  <c r="CQ33" i="1"/>
  <c r="CR33" i="1"/>
  <c r="CQ34" i="1"/>
  <c r="CR34" i="1"/>
  <c r="CQ35" i="1"/>
  <c r="CR35" i="1"/>
  <c r="CQ36" i="1"/>
  <c r="CR36" i="1"/>
  <c r="CQ37" i="1"/>
  <c r="CR37" i="1"/>
  <c r="CQ38" i="1"/>
  <c r="CR38" i="1"/>
  <c r="CQ39" i="1"/>
  <c r="CR39" i="1"/>
  <c r="CR9" i="1"/>
  <c r="CQ9" i="1"/>
  <c r="CO10" i="1"/>
  <c r="CP10" i="1"/>
  <c r="CO11" i="1"/>
  <c r="CP11" i="1"/>
  <c r="CO12" i="1"/>
  <c r="CP12" i="1"/>
  <c r="CO13" i="1"/>
  <c r="CP13" i="1"/>
  <c r="CO14" i="1"/>
  <c r="CP14" i="1"/>
  <c r="CO15" i="1"/>
  <c r="CP15" i="1"/>
  <c r="CO16" i="1"/>
  <c r="CP16" i="1"/>
  <c r="CO17" i="1"/>
  <c r="CP17" i="1"/>
  <c r="CO18" i="1"/>
  <c r="CP18" i="1"/>
  <c r="CO19" i="1"/>
  <c r="CP19" i="1"/>
  <c r="CO20" i="1"/>
  <c r="CP20" i="1"/>
  <c r="CO21" i="1"/>
  <c r="CP21" i="1"/>
  <c r="CO22" i="1"/>
  <c r="CP22" i="1"/>
  <c r="CO23" i="1"/>
  <c r="CP23" i="1"/>
  <c r="CO24" i="1"/>
  <c r="CP24" i="1"/>
  <c r="CO25" i="1"/>
  <c r="CP25" i="1"/>
  <c r="CO26" i="1"/>
  <c r="CP26" i="1"/>
  <c r="CO27" i="1"/>
  <c r="CP27" i="1"/>
  <c r="CO28" i="1"/>
  <c r="CP28" i="1"/>
  <c r="CO29" i="1"/>
  <c r="CP29" i="1"/>
  <c r="CO30" i="1"/>
  <c r="CP30" i="1"/>
  <c r="CO31" i="1"/>
  <c r="CP31" i="1"/>
  <c r="CO32" i="1"/>
  <c r="CP32" i="1"/>
  <c r="CO33" i="1"/>
  <c r="CP33" i="1"/>
  <c r="CO34" i="1"/>
  <c r="CP34" i="1"/>
  <c r="CO35" i="1"/>
  <c r="CP35" i="1"/>
  <c r="CO36" i="1"/>
  <c r="CP36" i="1"/>
  <c r="CO37" i="1"/>
  <c r="CP37" i="1"/>
  <c r="CO38" i="1"/>
  <c r="CP38" i="1"/>
  <c r="CO39" i="1"/>
  <c r="CP39" i="1"/>
  <c r="CP9" i="1"/>
  <c r="CO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M34" i="1"/>
  <c r="CN34" i="1"/>
  <c r="CM35" i="1"/>
  <c r="CN35" i="1"/>
  <c r="CM36" i="1"/>
  <c r="CN36" i="1"/>
  <c r="CM37" i="1"/>
  <c r="CN37" i="1"/>
  <c r="CM38" i="1"/>
  <c r="CN38" i="1"/>
  <c r="CM39" i="1"/>
  <c r="CN39" i="1"/>
  <c r="CN9" i="1"/>
  <c r="CM9" i="1"/>
  <c r="CM40" i="1" l="1"/>
  <c r="CN40" i="1"/>
  <c r="CP40" i="1"/>
  <c r="CQ40" i="1"/>
  <c r="CO40" i="1"/>
  <c r="CR40" i="1"/>
  <c r="CL39" i="1"/>
  <c r="CK39" i="1"/>
  <c r="CJ39" i="1"/>
  <c r="CI39" i="1"/>
  <c r="CL38" i="1"/>
  <c r="CK38" i="1"/>
  <c r="CJ38" i="1"/>
  <c r="CI38" i="1"/>
  <c r="CL37" i="1"/>
  <c r="CK37" i="1"/>
  <c r="CJ37" i="1"/>
  <c r="CI37" i="1"/>
  <c r="CL36" i="1"/>
  <c r="CK36" i="1"/>
  <c r="CJ36" i="1"/>
  <c r="CI36" i="1"/>
  <c r="CL35" i="1"/>
  <c r="CK35" i="1"/>
  <c r="CJ35" i="1"/>
  <c r="CI35" i="1"/>
  <c r="CL34" i="1"/>
  <c r="CK34" i="1"/>
  <c r="CJ34" i="1"/>
  <c r="CI34" i="1"/>
  <c r="CL33" i="1"/>
  <c r="CK33" i="1"/>
  <c r="CJ33" i="1"/>
  <c r="CI33" i="1"/>
  <c r="CL32" i="1"/>
  <c r="CK32" i="1"/>
  <c r="CJ32" i="1"/>
  <c r="CI32" i="1"/>
  <c r="CL31" i="1"/>
  <c r="CK31" i="1"/>
  <c r="CJ31" i="1"/>
  <c r="CI31" i="1"/>
  <c r="CL30" i="1"/>
  <c r="CK30" i="1"/>
  <c r="CJ30" i="1"/>
  <c r="CI30" i="1"/>
  <c r="CL29" i="1"/>
  <c r="CK29" i="1"/>
  <c r="CJ29" i="1"/>
  <c r="CI29" i="1"/>
  <c r="CL28" i="1"/>
  <c r="CK28" i="1"/>
  <c r="CJ28" i="1"/>
  <c r="CI28" i="1"/>
  <c r="CL27" i="1"/>
  <c r="CK27" i="1"/>
  <c r="CJ27" i="1"/>
  <c r="CI27" i="1"/>
  <c r="CL26" i="1"/>
  <c r="CK26" i="1"/>
  <c r="CJ26" i="1"/>
  <c r="CI26" i="1"/>
  <c r="CL25" i="1"/>
  <c r="CK25" i="1"/>
  <c r="CJ25" i="1"/>
  <c r="CI25" i="1"/>
  <c r="CL24" i="1"/>
  <c r="CK24" i="1"/>
  <c r="CJ24" i="1"/>
  <c r="CI24" i="1"/>
  <c r="CL23" i="1"/>
  <c r="CK23" i="1"/>
  <c r="CJ23" i="1"/>
  <c r="CI23" i="1"/>
  <c r="CL22" i="1"/>
  <c r="CK22" i="1"/>
  <c r="CJ22" i="1"/>
  <c r="CI22" i="1"/>
  <c r="CL21" i="1"/>
  <c r="CK21" i="1"/>
  <c r="CJ21" i="1"/>
  <c r="CI21" i="1"/>
  <c r="CL20" i="1"/>
  <c r="CK20" i="1"/>
  <c r="CJ20" i="1"/>
  <c r="CI20" i="1"/>
  <c r="CL19" i="1"/>
  <c r="CK19" i="1"/>
  <c r="CJ19" i="1"/>
  <c r="CI19" i="1"/>
  <c r="CL18" i="1"/>
  <c r="CK18" i="1"/>
  <c r="CJ18" i="1"/>
  <c r="CI18" i="1"/>
  <c r="CL17" i="1"/>
  <c r="CK17" i="1"/>
  <c r="CJ17" i="1"/>
  <c r="CI17" i="1"/>
  <c r="CL16" i="1"/>
  <c r="CK16" i="1"/>
  <c r="CJ16" i="1"/>
  <c r="CI16" i="1"/>
  <c r="CL15" i="1"/>
  <c r="CK15" i="1"/>
  <c r="CJ15" i="1"/>
  <c r="CI15" i="1"/>
  <c r="CL14" i="1"/>
  <c r="CK14" i="1"/>
  <c r="CJ14" i="1"/>
  <c r="CI14" i="1"/>
  <c r="CL13" i="1"/>
  <c r="CK13" i="1"/>
  <c r="CJ13" i="1"/>
  <c r="CI13" i="1"/>
  <c r="CL12" i="1"/>
  <c r="CK12" i="1"/>
  <c r="CJ12" i="1"/>
  <c r="CI12" i="1"/>
  <c r="CL11" i="1"/>
  <c r="CK11" i="1"/>
  <c r="CJ11" i="1"/>
  <c r="CI11" i="1"/>
  <c r="CL10" i="1"/>
  <c r="CK10" i="1"/>
  <c r="CJ10" i="1"/>
  <c r="CI10" i="1"/>
  <c r="CL9" i="1"/>
  <c r="CK9" i="1"/>
  <c r="CJ9" i="1"/>
  <c r="CI9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CJ40" i="1" l="1"/>
  <c r="CK40" i="1"/>
  <c r="CL40" i="1"/>
  <c r="CI40" i="1"/>
  <c r="AC40" i="1"/>
  <c r="AD40" i="1"/>
  <c r="CH39" i="1"/>
  <c r="CG39" i="1"/>
  <c r="CH38" i="1"/>
  <c r="CG38" i="1"/>
  <c r="CH37" i="1"/>
  <c r="CG37" i="1"/>
  <c r="CH36" i="1"/>
  <c r="CG36" i="1"/>
  <c r="CH35" i="1"/>
  <c r="CG35" i="1"/>
  <c r="CH34" i="1"/>
  <c r="CG34" i="1"/>
  <c r="CH33" i="1"/>
  <c r="CG33" i="1"/>
  <c r="CH32" i="1"/>
  <c r="CG32" i="1"/>
  <c r="CH31" i="1"/>
  <c r="CG31" i="1"/>
  <c r="CH30" i="1"/>
  <c r="CG30" i="1"/>
  <c r="CH29" i="1"/>
  <c r="CG29" i="1"/>
  <c r="CH28" i="1"/>
  <c r="CG28" i="1"/>
  <c r="CH27" i="1"/>
  <c r="CG27" i="1"/>
  <c r="CH26" i="1"/>
  <c r="CG26" i="1"/>
  <c r="CH25" i="1"/>
  <c r="CG25" i="1"/>
  <c r="CH24" i="1"/>
  <c r="CG24" i="1"/>
  <c r="CH23" i="1"/>
  <c r="CG23" i="1"/>
  <c r="CH22" i="1"/>
  <c r="CG22" i="1"/>
  <c r="CH21" i="1"/>
  <c r="CG21" i="1"/>
  <c r="CH20" i="1"/>
  <c r="CG20" i="1"/>
  <c r="CH19" i="1"/>
  <c r="CG19" i="1"/>
  <c r="CH18" i="1"/>
  <c r="CG18" i="1"/>
  <c r="CH17" i="1"/>
  <c r="CG17" i="1"/>
  <c r="CH16" i="1"/>
  <c r="CG16" i="1"/>
  <c r="CH15" i="1"/>
  <c r="CG15" i="1"/>
  <c r="CH14" i="1"/>
  <c r="CG14" i="1"/>
  <c r="CH13" i="1"/>
  <c r="CG13" i="1"/>
  <c r="CH12" i="1"/>
  <c r="CG12" i="1"/>
  <c r="CH11" i="1"/>
  <c r="CG11" i="1"/>
  <c r="CH10" i="1"/>
  <c r="CG10" i="1"/>
  <c r="CH9" i="1"/>
  <c r="CG9" i="1"/>
  <c r="D46" i="1" l="1"/>
  <c r="CH40" i="1"/>
  <c r="CG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40" i="1" l="1"/>
  <c r="AA40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39" i="1"/>
  <c r="BK39" i="1"/>
  <c r="BJ39" i="1"/>
  <c r="BI39" i="1"/>
  <c r="BH39" i="1"/>
  <c r="BG39" i="1"/>
  <c r="BF39" i="1"/>
  <c r="BE39" i="1"/>
  <c r="BL38" i="1"/>
  <c r="BK38" i="1"/>
  <c r="BJ38" i="1"/>
  <c r="BI38" i="1"/>
  <c r="BH38" i="1"/>
  <c r="BG38" i="1"/>
  <c r="BF38" i="1"/>
  <c r="BE38" i="1"/>
  <c r="BL37" i="1"/>
  <c r="BK37" i="1"/>
  <c r="BJ37" i="1"/>
  <c r="BI37" i="1"/>
  <c r="BH37" i="1"/>
  <c r="BG37" i="1"/>
  <c r="BF37" i="1"/>
  <c r="BE37" i="1"/>
  <c r="BL36" i="1"/>
  <c r="BK36" i="1"/>
  <c r="BJ36" i="1"/>
  <c r="BI36" i="1"/>
  <c r="BH36" i="1"/>
  <c r="BG36" i="1"/>
  <c r="BF36" i="1"/>
  <c r="BE36" i="1"/>
  <c r="BL35" i="1"/>
  <c r="BK35" i="1"/>
  <c r="BJ35" i="1"/>
  <c r="BI35" i="1"/>
  <c r="BH35" i="1"/>
  <c r="BG35" i="1"/>
  <c r="BF35" i="1"/>
  <c r="BE35" i="1"/>
  <c r="BL34" i="1"/>
  <c r="BK34" i="1"/>
  <c r="BJ34" i="1"/>
  <c r="BI34" i="1"/>
  <c r="BH34" i="1"/>
  <c r="BG34" i="1"/>
  <c r="BF34" i="1"/>
  <c r="BE34" i="1"/>
  <c r="BL33" i="1"/>
  <c r="BK33" i="1"/>
  <c r="BJ33" i="1"/>
  <c r="BI33" i="1"/>
  <c r="BH33" i="1"/>
  <c r="BG33" i="1"/>
  <c r="BF33" i="1"/>
  <c r="BE33" i="1"/>
  <c r="BL32" i="1"/>
  <c r="BK32" i="1"/>
  <c r="BJ32" i="1"/>
  <c r="BI32" i="1"/>
  <c r="BH32" i="1"/>
  <c r="BG32" i="1"/>
  <c r="BF32" i="1"/>
  <c r="BE32" i="1"/>
  <c r="BL31" i="1"/>
  <c r="BK31" i="1"/>
  <c r="BJ31" i="1"/>
  <c r="BI31" i="1"/>
  <c r="BH31" i="1"/>
  <c r="BG31" i="1"/>
  <c r="BF31" i="1"/>
  <c r="BE31" i="1"/>
  <c r="BL30" i="1"/>
  <c r="BK30" i="1"/>
  <c r="BJ30" i="1"/>
  <c r="BI30" i="1"/>
  <c r="BH30" i="1"/>
  <c r="BG30" i="1"/>
  <c r="BF30" i="1"/>
  <c r="BE30" i="1"/>
  <c r="BL29" i="1"/>
  <c r="BK29" i="1"/>
  <c r="BJ29" i="1"/>
  <c r="BI29" i="1"/>
  <c r="BH29" i="1"/>
  <c r="BG29" i="1"/>
  <c r="BF29" i="1"/>
  <c r="BE29" i="1"/>
  <c r="BL28" i="1"/>
  <c r="BK28" i="1"/>
  <c r="BJ28" i="1"/>
  <c r="BI28" i="1"/>
  <c r="BH28" i="1"/>
  <c r="BG28" i="1"/>
  <c r="BF28" i="1"/>
  <c r="BE28" i="1"/>
  <c r="BL27" i="1"/>
  <c r="BK27" i="1"/>
  <c r="BJ27" i="1"/>
  <c r="BI27" i="1"/>
  <c r="BH27" i="1"/>
  <c r="BG27" i="1"/>
  <c r="BF27" i="1"/>
  <c r="BE27" i="1"/>
  <c r="BL26" i="1"/>
  <c r="BK26" i="1"/>
  <c r="BJ26" i="1"/>
  <c r="BI26" i="1"/>
  <c r="BH26" i="1"/>
  <c r="BG26" i="1"/>
  <c r="BF26" i="1"/>
  <c r="BE26" i="1"/>
  <c r="BL25" i="1"/>
  <c r="BK25" i="1"/>
  <c r="BJ25" i="1"/>
  <c r="BI25" i="1"/>
  <c r="BH25" i="1"/>
  <c r="BG25" i="1"/>
  <c r="BF25" i="1"/>
  <c r="BE25" i="1"/>
  <c r="BL24" i="1"/>
  <c r="BK24" i="1"/>
  <c r="BJ24" i="1"/>
  <c r="BI24" i="1"/>
  <c r="BH24" i="1"/>
  <c r="BG24" i="1"/>
  <c r="BF24" i="1"/>
  <c r="BE24" i="1"/>
  <c r="BL23" i="1"/>
  <c r="BK23" i="1"/>
  <c r="BJ23" i="1"/>
  <c r="BI23" i="1"/>
  <c r="BH23" i="1"/>
  <c r="BG23" i="1"/>
  <c r="BF23" i="1"/>
  <c r="BE23" i="1"/>
  <c r="BL22" i="1"/>
  <c r="BK22" i="1"/>
  <c r="BJ22" i="1"/>
  <c r="BI22" i="1"/>
  <c r="BH22" i="1"/>
  <c r="BG22" i="1"/>
  <c r="BF22" i="1"/>
  <c r="BE22" i="1"/>
  <c r="BL21" i="1"/>
  <c r="BK21" i="1"/>
  <c r="BJ21" i="1"/>
  <c r="BI21" i="1"/>
  <c r="BH21" i="1"/>
  <c r="BG21" i="1"/>
  <c r="BF21" i="1"/>
  <c r="BE21" i="1"/>
  <c r="BL20" i="1"/>
  <c r="BK20" i="1"/>
  <c r="BJ20" i="1"/>
  <c r="BI20" i="1"/>
  <c r="BH20" i="1"/>
  <c r="BG20" i="1"/>
  <c r="BF20" i="1"/>
  <c r="BE20" i="1"/>
  <c r="BL19" i="1"/>
  <c r="BK19" i="1"/>
  <c r="BJ19" i="1"/>
  <c r="BI19" i="1"/>
  <c r="BH19" i="1"/>
  <c r="BG19" i="1"/>
  <c r="BF19" i="1"/>
  <c r="BE19" i="1"/>
  <c r="BL18" i="1"/>
  <c r="BK18" i="1"/>
  <c r="BJ18" i="1"/>
  <c r="BI18" i="1"/>
  <c r="BH18" i="1"/>
  <c r="BG18" i="1"/>
  <c r="BF18" i="1"/>
  <c r="BE18" i="1"/>
  <c r="BL17" i="1"/>
  <c r="BK17" i="1"/>
  <c r="BJ17" i="1"/>
  <c r="BI17" i="1"/>
  <c r="BH17" i="1"/>
  <c r="BG17" i="1"/>
  <c r="BF17" i="1"/>
  <c r="BE17" i="1"/>
  <c r="BL16" i="1"/>
  <c r="BK16" i="1"/>
  <c r="BJ16" i="1"/>
  <c r="BI16" i="1"/>
  <c r="BH16" i="1"/>
  <c r="BG16" i="1"/>
  <c r="BF16" i="1"/>
  <c r="BE16" i="1"/>
  <c r="BL15" i="1"/>
  <c r="BK15" i="1"/>
  <c r="BJ15" i="1"/>
  <c r="BI15" i="1"/>
  <c r="BH15" i="1"/>
  <c r="BG15" i="1"/>
  <c r="BF15" i="1"/>
  <c r="BE15" i="1"/>
  <c r="BL14" i="1"/>
  <c r="BK14" i="1"/>
  <c r="BJ14" i="1"/>
  <c r="BI14" i="1"/>
  <c r="BH14" i="1"/>
  <c r="BG14" i="1"/>
  <c r="BF14" i="1"/>
  <c r="BE14" i="1"/>
  <c r="BL13" i="1"/>
  <c r="BK13" i="1"/>
  <c r="BJ13" i="1"/>
  <c r="BI13" i="1"/>
  <c r="BH13" i="1"/>
  <c r="BG13" i="1"/>
  <c r="BF13" i="1"/>
  <c r="BE13" i="1"/>
  <c r="BL12" i="1"/>
  <c r="BK12" i="1"/>
  <c r="BJ12" i="1"/>
  <c r="BI12" i="1"/>
  <c r="BH12" i="1"/>
  <c r="BG12" i="1"/>
  <c r="BF12" i="1"/>
  <c r="BE12" i="1"/>
  <c r="BL11" i="1"/>
  <c r="BK11" i="1"/>
  <c r="BJ11" i="1"/>
  <c r="BI11" i="1"/>
  <c r="BH11" i="1"/>
  <c r="BG11" i="1"/>
  <c r="BF11" i="1"/>
  <c r="BE11" i="1"/>
  <c r="BL10" i="1"/>
  <c r="BK10" i="1"/>
  <c r="BJ10" i="1"/>
  <c r="BI10" i="1"/>
  <c r="BH10" i="1"/>
  <c r="BG10" i="1"/>
  <c r="BF10" i="1"/>
  <c r="BE10" i="1"/>
  <c r="BL9" i="1"/>
  <c r="BK9" i="1"/>
  <c r="BJ9" i="1"/>
  <c r="BI9" i="1"/>
  <c r="BH9" i="1"/>
  <c r="BG9" i="1"/>
  <c r="BF9" i="1"/>
  <c r="BE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X39" i="1"/>
  <c r="W39" i="1"/>
  <c r="V39" i="1"/>
  <c r="U39" i="1"/>
  <c r="T39" i="1"/>
  <c r="S39" i="1"/>
  <c r="R39" i="1"/>
  <c r="Q39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X38" i="1"/>
  <c r="W38" i="1"/>
  <c r="V38" i="1"/>
  <c r="U38" i="1"/>
  <c r="T38" i="1"/>
  <c r="S38" i="1"/>
  <c r="R38" i="1"/>
  <c r="Q38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X37" i="1"/>
  <c r="W37" i="1"/>
  <c r="V37" i="1"/>
  <c r="U37" i="1"/>
  <c r="T37" i="1"/>
  <c r="S37" i="1"/>
  <c r="R37" i="1"/>
  <c r="Q37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X36" i="1"/>
  <c r="W36" i="1"/>
  <c r="V36" i="1"/>
  <c r="U36" i="1"/>
  <c r="T36" i="1"/>
  <c r="S36" i="1"/>
  <c r="R36" i="1"/>
  <c r="Q36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X35" i="1"/>
  <c r="W35" i="1"/>
  <c r="V35" i="1"/>
  <c r="U35" i="1"/>
  <c r="T35" i="1"/>
  <c r="S35" i="1"/>
  <c r="R35" i="1"/>
  <c r="Q35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X34" i="1"/>
  <c r="W34" i="1"/>
  <c r="V34" i="1"/>
  <c r="U34" i="1"/>
  <c r="T34" i="1"/>
  <c r="S34" i="1"/>
  <c r="R34" i="1"/>
  <c r="Q34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X33" i="1"/>
  <c r="W33" i="1"/>
  <c r="V33" i="1"/>
  <c r="U33" i="1"/>
  <c r="T33" i="1"/>
  <c r="S33" i="1"/>
  <c r="R33" i="1"/>
  <c r="Q33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X32" i="1"/>
  <c r="W32" i="1"/>
  <c r="V32" i="1"/>
  <c r="U32" i="1"/>
  <c r="T32" i="1"/>
  <c r="S32" i="1"/>
  <c r="R32" i="1"/>
  <c r="Q32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X31" i="1"/>
  <c r="W31" i="1"/>
  <c r="V31" i="1"/>
  <c r="U31" i="1"/>
  <c r="T31" i="1"/>
  <c r="S31" i="1"/>
  <c r="R31" i="1"/>
  <c r="Q31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X30" i="1"/>
  <c r="W30" i="1"/>
  <c r="V30" i="1"/>
  <c r="U30" i="1"/>
  <c r="T30" i="1"/>
  <c r="S30" i="1"/>
  <c r="R30" i="1"/>
  <c r="Q30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X29" i="1"/>
  <c r="W29" i="1"/>
  <c r="V29" i="1"/>
  <c r="U29" i="1"/>
  <c r="T29" i="1"/>
  <c r="S29" i="1"/>
  <c r="R29" i="1"/>
  <c r="Q29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X28" i="1"/>
  <c r="W28" i="1"/>
  <c r="V28" i="1"/>
  <c r="U28" i="1"/>
  <c r="T28" i="1"/>
  <c r="S28" i="1"/>
  <c r="R28" i="1"/>
  <c r="Q28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X27" i="1"/>
  <c r="W27" i="1"/>
  <c r="V27" i="1"/>
  <c r="U27" i="1"/>
  <c r="T27" i="1"/>
  <c r="S27" i="1"/>
  <c r="R27" i="1"/>
  <c r="Q27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X26" i="1"/>
  <c r="W26" i="1"/>
  <c r="V26" i="1"/>
  <c r="U26" i="1"/>
  <c r="T26" i="1"/>
  <c r="S26" i="1"/>
  <c r="R26" i="1"/>
  <c r="Q26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X25" i="1"/>
  <c r="W25" i="1"/>
  <c r="V25" i="1"/>
  <c r="U25" i="1"/>
  <c r="T25" i="1"/>
  <c r="S25" i="1"/>
  <c r="R25" i="1"/>
  <c r="Q25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X24" i="1"/>
  <c r="W24" i="1"/>
  <c r="V24" i="1"/>
  <c r="U24" i="1"/>
  <c r="T24" i="1"/>
  <c r="S24" i="1"/>
  <c r="R24" i="1"/>
  <c r="Q24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X23" i="1"/>
  <c r="W23" i="1"/>
  <c r="V23" i="1"/>
  <c r="U23" i="1"/>
  <c r="T23" i="1"/>
  <c r="S23" i="1"/>
  <c r="R23" i="1"/>
  <c r="Q23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X22" i="1"/>
  <c r="W22" i="1"/>
  <c r="V22" i="1"/>
  <c r="U22" i="1"/>
  <c r="T22" i="1"/>
  <c r="S22" i="1"/>
  <c r="R22" i="1"/>
  <c r="Q22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X21" i="1"/>
  <c r="W21" i="1"/>
  <c r="V21" i="1"/>
  <c r="U21" i="1"/>
  <c r="T21" i="1"/>
  <c r="S21" i="1"/>
  <c r="R21" i="1"/>
  <c r="Q21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X20" i="1"/>
  <c r="W20" i="1"/>
  <c r="V20" i="1"/>
  <c r="U20" i="1"/>
  <c r="T20" i="1"/>
  <c r="S20" i="1"/>
  <c r="R20" i="1"/>
  <c r="Q20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X19" i="1"/>
  <c r="W19" i="1"/>
  <c r="V19" i="1"/>
  <c r="U19" i="1"/>
  <c r="T19" i="1"/>
  <c r="S19" i="1"/>
  <c r="R19" i="1"/>
  <c r="Q19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X18" i="1"/>
  <c r="W18" i="1"/>
  <c r="V18" i="1"/>
  <c r="U18" i="1"/>
  <c r="T18" i="1"/>
  <c r="S18" i="1"/>
  <c r="R18" i="1"/>
  <c r="Q18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X17" i="1"/>
  <c r="W17" i="1"/>
  <c r="V17" i="1"/>
  <c r="U17" i="1"/>
  <c r="T17" i="1"/>
  <c r="S17" i="1"/>
  <c r="R17" i="1"/>
  <c r="Q17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X16" i="1"/>
  <c r="W16" i="1"/>
  <c r="V16" i="1"/>
  <c r="U16" i="1"/>
  <c r="T16" i="1"/>
  <c r="S16" i="1"/>
  <c r="R16" i="1"/>
  <c r="Q16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X15" i="1"/>
  <c r="W15" i="1"/>
  <c r="V15" i="1"/>
  <c r="U15" i="1"/>
  <c r="T15" i="1"/>
  <c r="S15" i="1"/>
  <c r="R15" i="1"/>
  <c r="Q15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X14" i="1"/>
  <c r="W14" i="1"/>
  <c r="V14" i="1"/>
  <c r="U14" i="1"/>
  <c r="T14" i="1"/>
  <c r="S14" i="1"/>
  <c r="R14" i="1"/>
  <c r="Q14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X13" i="1"/>
  <c r="W13" i="1"/>
  <c r="V13" i="1"/>
  <c r="U13" i="1"/>
  <c r="T13" i="1"/>
  <c r="S13" i="1"/>
  <c r="R13" i="1"/>
  <c r="Q13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X12" i="1"/>
  <c r="W12" i="1"/>
  <c r="V12" i="1"/>
  <c r="U12" i="1"/>
  <c r="T12" i="1"/>
  <c r="S12" i="1"/>
  <c r="R12" i="1"/>
  <c r="Q12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X11" i="1"/>
  <c r="W11" i="1"/>
  <c r="V11" i="1"/>
  <c r="U11" i="1"/>
  <c r="T11" i="1"/>
  <c r="S11" i="1"/>
  <c r="R11" i="1"/>
  <c r="Q11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X10" i="1"/>
  <c r="W10" i="1"/>
  <c r="V10" i="1"/>
  <c r="U10" i="1"/>
  <c r="T10" i="1"/>
  <c r="S10" i="1"/>
  <c r="R10" i="1"/>
  <c r="Q10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X9" i="1"/>
  <c r="W9" i="1"/>
  <c r="V9" i="1"/>
  <c r="U9" i="1"/>
  <c r="T9" i="1"/>
  <c r="S9" i="1"/>
  <c r="R9" i="1"/>
  <c r="Q9" i="1"/>
  <c r="A10" i="1"/>
  <c r="D10" i="1" s="1"/>
  <c r="CT10" i="1" l="1"/>
  <c r="A11" i="1"/>
  <c r="D11" i="1" s="1"/>
  <c r="BG40" i="1"/>
  <c r="BK40" i="1"/>
  <c r="BO40" i="1"/>
  <c r="CS10" i="1"/>
  <c r="CS12" i="1"/>
  <c r="CS14" i="1"/>
  <c r="CS16" i="1"/>
  <c r="CS18" i="1"/>
  <c r="CS20" i="1"/>
  <c r="CS22" i="1"/>
  <c r="CS24" i="1"/>
  <c r="CS26" i="1"/>
  <c r="CS28" i="1"/>
  <c r="CS38" i="1"/>
  <c r="CS30" i="1"/>
  <c r="CS34" i="1"/>
  <c r="CS9" i="1"/>
  <c r="CS11" i="1"/>
  <c r="CS13" i="1"/>
  <c r="CS15" i="1"/>
  <c r="CS17" i="1"/>
  <c r="CS19" i="1"/>
  <c r="CS21" i="1"/>
  <c r="CS23" i="1"/>
  <c r="CS25" i="1"/>
  <c r="CS27" i="1"/>
  <c r="CS29" i="1"/>
  <c r="CS35" i="1"/>
  <c r="CS37" i="1"/>
  <c r="CS39" i="1"/>
  <c r="CS32" i="1"/>
  <c r="CS33" i="1"/>
  <c r="CS36" i="1"/>
  <c r="CS31" i="1"/>
  <c r="BL40" i="1"/>
  <c r="BT40" i="1"/>
  <c r="D45" i="1"/>
  <c r="BW40" i="1"/>
  <c r="CA40" i="1"/>
  <c r="CE40" i="1"/>
  <c r="BZ40" i="1"/>
  <c r="BH40" i="1"/>
  <c r="BS40" i="1"/>
  <c r="BX40" i="1"/>
  <c r="BY40" i="1"/>
  <c r="CC40" i="1"/>
  <c r="BP40" i="1"/>
  <c r="CD40" i="1"/>
  <c r="BM40" i="1"/>
  <c r="BQ40" i="1"/>
  <c r="BU40" i="1"/>
  <c r="BF40" i="1"/>
  <c r="BJ40" i="1"/>
  <c r="BB40" i="1"/>
  <c r="CB40" i="1"/>
  <c r="CF40" i="1"/>
  <c r="BE40" i="1"/>
  <c r="BI40" i="1"/>
  <c r="P43" i="1" s="1"/>
  <c r="AT40" i="1"/>
  <c r="AX40" i="1"/>
  <c r="AN40" i="1"/>
  <c r="AR40" i="1"/>
  <c r="AV40" i="1"/>
  <c r="AZ40" i="1"/>
  <c r="BA40" i="1"/>
  <c r="BV40" i="1"/>
  <c r="AK40" i="1"/>
  <c r="AW40" i="1"/>
  <c r="AY40" i="1"/>
  <c r="BN40" i="1"/>
  <c r="BR40" i="1"/>
  <c r="AO40" i="1"/>
  <c r="AU40" i="1"/>
  <c r="AL40" i="1"/>
  <c r="AP40" i="1"/>
  <c r="AM40" i="1"/>
  <c r="AS40" i="1"/>
  <c r="AQ40" i="1"/>
  <c r="P44" i="1" l="1"/>
  <c r="P45" i="1"/>
  <c r="P42" i="1"/>
  <c r="CT11" i="1"/>
  <c r="H47" i="1"/>
  <c r="L44" i="1"/>
  <c r="H45" i="1"/>
  <c r="L41" i="1"/>
  <c r="L43" i="1"/>
  <c r="H46" i="1"/>
  <c r="H44" i="1"/>
  <c r="H48" i="1"/>
  <c r="L42" i="1"/>
  <c r="A12" i="1"/>
  <c r="CT12" i="1" s="1"/>
  <c r="AI40" i="1"/>
  <c r="AE40" i="1"/>
  <c r="U40" i="1"/>
  <c r="Q40" i="1"/>
  <c r="S40" i="1"/>
  <c r="BC40" i="1"/>
  <c r="AG40" i="1"/>
  <c r="W40" i="1"/>
  <c r="A13" i="1" l="1"/>
  <c r="A14" i="1" s="1"/>
  <c r="D12" i="1"/>
  <c r="AF40" i="1"/>
  <c r="H41" i="1" s="1"/>
  <c r="V40" i="1"/>
  <c r="D42" i="1" s="1"/>
  <c r="R40" i="1"/>
  <c r="D43" i="1" s="1"/>
  <c r="BD40" i="1"/>
  <c r="P46" i="1" s="1"/>
  <c r="AH40" i="1"/>
  <c r="H42" i="1" s="1"/>
  <c r="X40" i="1"/>
  <c r="D41" i="1" s="1"/>
  <c r="T40" i="1"/>
  <c r="D44" i="1" s="1"/>
  <c r="AJ40" i="1"/>
  <c r="H43" i="1" s="1"/>
  <c r="CT13" i="1" l="1"/>
  <c r="D13" i="1"/>
  <c r="O49" i="1"/>
  <c r="CS40" i="1"/>
  <c r="CT14" i="1"/>
  <c r="T44" i="1"/>
  <c r="T46" i="1"/>
  <c r="T45" i="1"/>
  <c r="A15" i="1" l="1"/>
  <c r="CT15" i="1" s="1"/>
  <c r="D14" i="1"/>
  <c r="T41" i="1"/>
  <c r="A16" i="1" l="1"/>
  <c r="CT16" i="1" s="1"/>
  <c r="D15" i="1"/>
  <c r="A17" i="1" l="1"/>
  <c r="CT17" i="1" s="1"/>
  <c r="D16" i="1"/>
  <c r="A18" i="1" l="1"/>
  <c r="CT18" i="1" s="1"/>
  <c r="D17" i="1"/>
  <c r="A19" i="1" l="1"/>
  <c r="CT19" i="1" s="1"/>
  <c r="D18" i="1"/>
  <c r="A20" i="1" l="1"/>
  <c r="CT20" i="1" s="1"/>
  <c r="D19" i="1"/>
  <c r="A21" i="1" l="1"/>
  <c r="CT21" i="1" s="1"/>
  <c r="D20" i="1"/>
  <c r="A22" i="1" l="1"/>
  <c r="CT22" i="1" s="1"/>
  <c r="D21" i="1"/>
  <c r="A23" i="1" l="1"/>
  <c r="D22" i="1"/>
  <c r="CT23" i="1" l="1"/>
  <c r="D23" i="1"/>
  <c r="A24" i="1"/>
  <c r="CT24" i="1" s="1"/>
  <c r="A25" i="1" l="1"/>
  <c r="CT25" i="1" s="1"/>
  <c r="D24" i="1"/>
  <c r="A26" i="1" l="1"/>
  <c r="CT26" i="1" s="1"/>
  <c r="D25" i="1"/>
  <c r="A27" i="1" l="1"/>
  <c r="D26" i="1"/>
  <c r="CT27" i="1" l="1"/>
  <c r="D27" i="1"/>
  <c r="A28" i="1"/>
  <c r="CT28" i="1" s="1"/>
  <c r="A29" i="1" l="1"/>
  <c r="CT29" i="1" s="1"/>
  <c r="D28" i="1"/>
  <c r="A30" i="1" l="1"/>
  <c r="D29" i="1"/>
  <c r="CT30" i="1" l="1"/>
  <c r="A31" i="1"/>
  <c r="D31" i="1" s="1"/>
  <c r="D30" i="1"/>
  <c r="CT31" i="1" l="1"/>
  <c r="A32" i="1"/>
  <c r="CT32" i="1" s="1"/>
  <c r="A33" i="1" l="1"/>
  <c r="CT33" i="1" s="1"/>
  <c r="D32" i="1"/>
  <c r="A34" i="1" l="1"/>
  <c r="CT34" i="1" s="1"/>
  <c r="D33" i="1"/>
  <c r="A35" i="1" l="1"/>
  <c r="CT35" i="1" s="1"/>
  <c r="D34" i="1"/>
  <c r="A36" i="1" l="1"/>
  <c r="CT36" i="1" s="1"/>
  <c r="D35" i="1"/>
  <c r="A37" i="1" l="1"/>
  <c r="CT37" i="1" s="1"/>
  <c r="D36" i="1"/>
  <c r="D37" i="1" l="1"/>
  <c r="A38" i="1"/>
  <c r="CT38" i="1" s="1"/>
  <c r="D38" i="1" l="1"/>
  <c r="A39" i="1"/>
  <c r="CT39" i="1" l="1"/>
  <c r="D39" i="1"/>
</calcChain>
</file>

<file path=xl/sharedStrings.xml><?xml version="1.0" encoding="utf-8"?>
<sst xmlns="http://schemas.openxmlformats.org/spreadsheetml/2006/main" count="670" uniqueCount="194">
  <si>
    <t>日期</t>
    <phoneticPr fontId="0" type="noConversion"/>
  </si>
  <si>
    <t>星期</t>
    <phoneticPr fontId="0" type="noConversion"/>
  </si>
  <si>
    <t>DATE</t>
    <phoneticPr fontId="0" type="noConversion"/>
  </si>
  <si>
    <t>DAY</t>
    <phoneticPr fontId="0" type="noConversion"/>
  </si>
  <si>
    <t>09 - 10</t>
    <phoneticPr fontId="0" type="noConversion"/>
  </si>
  <si>
    <t>10 - 11</t>
  </si>
  <si>
    <t>11 - 12</t>
  </si>
  <si>
    <t>15 - 16</t>
  </si>
  <si>
    <t>16 - 17</t>
  </si>
  <si>
    <t>17 - 18</t>
  </si>
  <si>
    <t>OT (O/N, PH)</t>
    <phoneticPr fontId="0" type="noConversion"/>
  </si>
  <si>
    <t>CHECKED BY</t>
  </si>
  <si>
    <t>REMARKS</t>
  </si>
  <si>
    <t>OFF</t>
  </si>
  <si>
    <t>PH</t>
  </si>
  <si>
    <t>SL</t>
  </si>
  <si>
    <t>AL</t>
  </si>
  <si>
    <t>PRO028</t>
  </si>
  <si>
    <t>PRO032</t>
  </si>
  <si>
    <t>PRO053</t>
  </si>
  <si>
    <t>PRO054</t>
  </si>
  <si>
    <t>Fri</t>
  </si>
  <si>
    <t>Sat</t>
  </si>
  <si>
    <t>Mon</t>
  </si>
  <si>
    <t xml:space="preserve"> PRO/JOB REF  : </t>
    <phoneticPr fontId="0" type="noConversion"/>
  </si>
  <si>
    <t>total:</t>
  </si>
  <si>
    <t>PH+SL+AL</t>
  </si>
  <si>
    <t>working</t>
  </si>
  <si>
    <t>ADMIN. / ACCOUNT :</t>
    <phoneticPr fontId="0" type="noConversion"/>
  </si>
  <si>
    <t xml:space="preserve"> CHECKED BY :</t>
    <phoneticPr fontId="0" type="noConversion"/>
  </si>
  <si>
    <t xml:space="preserve"> APPROVED BY :</t>
    <phoneticPr fontId="0" type="noConversion"/>
  </si>
  <si>
    <t>PH</t>
    <phoneticPr fontId="6" type="noConversion"/>
  </si>
  <si>
    <t>PRO038</t>
  </si>
  <si>
    <t>PRO046</t>
  </si>
  <si>
    <t>PRO052</t>
  </si>
  <si>
    <t>PRO055</t>
  </si>
  <si>
    <t>PRO056</t>
  </si>
  <si>
    <t>PRO057</t>
  </si>
  <si>
    <t>PRO16-003</t>
  </si>
  <si>
    <t>PRO16-004</t>
  </si>
  <si>
    <t>PRO16-007</t>
  </si>
  <si>
    <t>PRO16-014</t>
  </si>
  <si>
    <t>PRO16-015</t>
  </si>
  <si>
    <t>PRO16-016</t>
  </si>
  <si>
    <t>PRO16-019</t>
  </si>
  <si>
    <t>工程編號</t>
    <phoneticPr fontId="10" type="noConversion"/>
  </si>
  <si>
    <t>工程地盤</t>
    <phoneticPr fontId="11" type="noConversion"/>
  </si>
  <si>
    <t>PRO023</t>
    <phoneticPr fontId="11" type="noConversion"/>
  </si>
  <si>
    <t>PRO17-001</t>
    <phoneticPr fontId="11" type="noConversion"/>
  </si>
  <si>
    <t>AL</t>
    <phoneticPr fontId="6" type="noConversion"/>
  </si>
  <si>
    <t>SL</t>
    <phoneticPr fontId="6" type="noConversion"/>
  </si>
  <si>
    <t>NPL</t>
    <phoneticPr fontId="6" type="noConversion"/>
  </si>
  <si>
    <t>Jan</t>
    <phoneticPr fontId="6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</si>
  <si>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</si>
  <si>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</si>
  <si>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</si>
  <si>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</si>
  <si>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</si>
  <si>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</si>
  <si>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</si>
  <si>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</si>
  <si>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</si>
  <si>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</si>
  <si>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</si>
  <si>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  <phoneticPr fontId="6" type="noConversion"/>
  </si>
  <si>
    <t>NPL</t>
  </si>
  <si>
    <t>NPL</t>
    <phoneticPr fontId="6" type="noConversion"/>
  </si>
  <si>
    <t>Total:</t>
    <phoneticPr fontId="6" type="noConversion"/>
  </si>
  <si>
    <t xml:space="preserve"> (加班時段)</t>
  </si>
  <si>
    <t>(備註)</t>
  </si>
  <si>
    <t>(查核簽名)</t>
    <phoneticPr fontId="6" type="noConversion"/>
  </si>
  <si>
    <r>
      <t>MONTH</t>
    </r>
    <r>
      <rPr>
        <sz val="12"/>
        <rFont val="微軟正黑體"/>
        <family val="2"/>
        <charset val="136"/>
      </rPr>
      <t>（月份）：</t>
    </r>
    <phoneticPr fontId="6" type="noConversion"/>
  </si>
  <si>
    <r>
      <t>NAME</t>
    </r>
    <r>
      <rPr>
        <sz val="12"/>
        <rFont val="微軟正黑體"/>
        <family val="2"/>
        <charset val="136"/>
      </rPr>
      <t>（姓名）：</t>
    </r>
    <phoneticPr fontId="6" type="noConversion"/>
  </si>
  <si>
    <r>
      <t>POSITION</t>
    </r>
    <r>
      <rPr>
        <sz val="12"/>
        <rFont val="微軟正黑體"/>
        <family val="2"/>
        <charset val="136"/>
      </rPr>
      <t xml:space="preserve">（職位）： </t>
    </r>
    <phoneticPr fontId="6" type="noConversion"/>
  </si>
  <si>
    <r>
      <t>DEPT.</t>
    </r>
    <r>
      <rPr>
        <sz val="12"/>
        <rFont val="微軟正黑體"/>
        <family val="2"/>
        <charset val="136"/>
      </rPr>
      <t>（部門）：</t>
    </r>
    <phoneticPr fontId="6" type="noConversion"/>
  </si>
  <si>
    <t>Tender</t>
    <phoneticPr fontId="6" type="noConversion"/>
  </si>
  <si>
    <t>PRO048</t>
    <phoneticPr fontId="6" type="noConversion"/>
  </si>
  <si>
    <t>Tung Chung 39</t>
    <phoneticPr fontId="6" type="noConversion"/>
  </si>
  <si>
    <t>Yan Chai Hospital</t>
    <phoneticPr fontId="6" type="noConversion"/>
  </si>
  <si>
    <t>Admin</t>
    <phoneticPr fontId="6" type="noConversion"/>
  </si>
  <si>
    <t>PRO17-004</t>
    <phoneticPr fontId="6" type="noConversion"/>
  </si>
  <si>
    <t>PRO17-003</t>
    <phoneticPr fontId="6" type="noConversion"/>
  </si>
  <si>
    <t>PRO17-006</t>
    <phoneticPr fontId="6" type="noConversion"/>
  </si>
  <si>
    <t>20 Peak Road</t>
    <phoneticPr fontId="6" type="noConversion"/>
  </si>
  <si>
    <t>PRO17-009</t>
    <phoneticPr fontId="6" type="noConversion"/>
  </si>
  <si>
    <t>Ocean Park</t>
    <phoneticPr fontId="6" type="noConversion"/>
  </si>
  <si>
    <t>Admin</t>
    <phoneticPr fontId="6" type="noConversion"/>
  </si>
  <si>
    <t>Admin</t>
    <phoneticPr fontId="6" type="noConversion"/>
  </si>
  <si>
    <t>PRO17-010</t>
    <phoneticPr fontId="6" type="noConversion"/>
  </si>
  <si>
    <t>PRO17-011</t>
    <phoneticPr fontId="6" type="noConversion"/>
  </si>
  <si>
    <t>PRO17-013</t>
    <phoneticPr fontId="6" type="noConversion"/>
  </si>
  <si>
    <t>RAH 2017/18</t>
    <phoneticPr fontId="6" type="noConversion"/>
  </si>
  <si>
    <t>華潤大廈</t>
    <phoneticPr fontId="6" type="noConversion"/>
  </si>
  <si>
    <t>灣景中心</t>
    <phoneticPr fontId="6" type="noConversion"/>
  </si>
  <si>
    <t>CMC2</t>
    <phoneticPr fontId="6" type="noConversion"/>
  </si>
  <si>
    <t>SSY302 YLL</t>
    <phoneticPr fontId="6" type="noConversion"/>
  </si>
  <si>
    <t>HKJC Hospice</t>
    <phoneticPr fontId="6" type="noConversion"/>
  </si>
  <si>
    <r>
      <t>THEi (VTC)</t>
    </r>
    <r>
      <rPr>
        <sz val="12"/>
        <rFont val="新細明體"/>
        <family val="1"/>
        <charset val="136"/>
      </rPr>
      <t/>
    </r>
    <phoneticPr fontId="6" type="noConversion"/>
  </si>
  <si>
    <t>TKT BEAM Plus</t>
    <phoneticPr fontId="6" type="noConversion"/>
  </si>
  <si>
    <t>HHR</t>
    <phoneticPr fontId="6" type="noConversion"/>
  </si>
  <si>
    <t>RRH</t>
    <phoneticPr fontId="6" type="noConversion"/>
  </si>
  <si>
    <t>RKH</t>
    <phoneticPr fontId="6" type="noConversion"/>
  </si>
  <si>
    <t>Towngas</t>
    <phoneticPr fontId="6" type="noConversion"/>
  </si>
  <si>
    <t>Shek Mun</t>
    <phoneticPr fontId="6" type="noConversion"/>
  </si>
  <si>
    <t>Lok Wo Sha</t>
    <phoneticPr fontId="6" type="noConversion"/>
  </si>
  <si>
    <t>SKH</t>
    <phoneticPr fontId="6" type="noConversion"/>
  </si>
  <si>
    <r>
      <t>RAH</t>
    </r>
    <r>
      <rPr>
        <sz val="12"/>
        <rFont val="新細明體"/>
        <family val="1"/>
        <charset val="136"/>
      </rPr>
      <t/>
    </r>
    <phoneticPr fontId="6" type="noConversion"/>
  </si>
  <si>
    <t>HKPU</t>
    <phoneticPr fontId="6" type="noConversion"/>
  </si>
  <si>
    <t>Eaton</t>
    <phoneticPr fontId="6" type="noConversion"/>
  </si>
  <si>
    <t>HKJC Home for Hospice</t>
    <phoneticPr fontId="6" type="noConversion"/>
  </si>
  <si>
    <t>HKJC</t>
    <phoneticPr fontId="6" type="noConversion"/>
  </si>
  <si>
    <t>華潤酒店</t>
    <phoneticPr fontId="6" type="noConversion"/>
  </si>
  <si>
    <t>補假</t>
    <phoneticPr fontId="6" type="noConversion"/>
  </si>
  <si>
    <t>Labour Day</t>
  </si>
  <si>
    <t>Tuen Ng Festival</t>
  </si>
  <si>
    <t>Chung Yeung Festival</t>
  </si>
  <si>
    <t>Christmas Day</t>
  </si>
  <si>
    <t>The first weekday after Christmas Day</t>
  </si>
  <si>
    <r>
      <t>TIMESHEET</t>
    </r>
    <r>
      <rPr>
        <b/>
        <sz val="22"/>
        <rFont val="微軟正黑體"/>
        <family val="2"/>
        <charset val="136"/>
      </rPr>
      <t>（工作時間記錄表）</t>
    </r>
    <phoneticPr fontId="6" type="noConversion"/>
  </si>
  <si>
    <t>Good Friday</t>
    <phoneticPr fontId="6" type="noConversion"/>
  </si>
  <si>
    <t>The day following Good Friday</t>
    <phoneticPr fontId="6" type="noConversion"/>
  </si>
  <si>
    <t>Hong Kong Special Administrative Region Establishment Day</t>
    <phoneticPr fontId="6" type="noConversion"/>
  </si>
  <si>
    <t>Tue</t>
    <phoneticPr fontId="6" type="noConversion"/>
  </si>
  <si>
    <t>Wed</t>
    <phoneticPr fontId="6" type="noConversion"/>
  </si>
  <si>
    <t>Thu</t>
    <phoneticPr fontId="6" type="noConversion"/>
  </si>
  <si>
    <t>Fri</t>
    <phoneticPr fontId="6" type="noConversion"/>
  </si>
  <si>
    <t>Mon</t>
    <phoneticPr fontId="6" type="noConversion"/>
  </si>
  <si>
    <t>Sat</t>
    <phoneticPr fontId="6" type="noConversion"/>
  </si>
  <si>
    <t>Birthday of the Buddha</t>
    <phoneticPr fontId="6" type="noConversion"/>
  </si>
  <si>
    <t>Tue</t>
  </si>
  <si>
    <t>Wed</t>
  </si>
  <si>
    <t>Thu</t>
  </si>
  <si>
    <t>Sun</t>
  </si>
  <si>
    <t>12 - 13:30</t>
    <phoneticPr fontId="6" type="noConversion"/>
  </si>
  <si>
    <t>13:30 - 15</t>
    <phoneticPr fontId="6" type="noConversion"/>
  </si>
  <si>
    <t>L</t>
    <phoneticPr fontId="6" type="noConversion"/>
  </si>
  <si>
    <t>M</t>
    <phoneticPr fontId="6" type="noConversion"/>
  </si>
  <si>
    <r>
      <rPr>
        <b/>
        <sz val="10"/>
        <rFont val="Malgun Gothic"/>
        <family val="2"/>
      </rPr>
      <t>09:00-12:00 / 13:30-18:00 - 半天</t>
    </r>
    <r>
      <rPr>
        <b/>
        <sz val="10"/>
        <rFont val="微軟正黑體"/>
        <family val="2"/>
        <charset val="136"/>
      </rPr>
      <t>為</t>
    </r>
    <r>
      <rPr>
        <b/>
        <sz val="10"/>
        <rFont val="Malgun Gothic"/>
        <family val="2"/>
      </rPr>
      <t xml:space="preserve"> 1 單位</t>
    </r>
    <phoneticPr fontId="6" type="noConversion"/>
  </si>
  <si>
    <r>
      <t>TIME（</t>
    </r>
    <r>
      <rPr>
        <sz val="11"/>
        <rFont val="微軟正黑體"/>
        <family val="2"/>
        <charset val="136"/>
      </rPr>
      <t>時間）－只需填寫工程合約編號（例：2380EM20M</t>
    </r>
    <r>
      <rPr>
        <sz val="11"/>
        <rFont val="Malgun Gothic"/>
        <family val="2"/>
        <charset val="129"/>
      </rPr>
      <t>）</t>
    </r>
    <phoneticPr fontId="6" type="noConversion"/>
  </si>
  <si>
    <t>OFF</t>
    <phoneticPr fontId="6" type="noConversion"/>
  </si>
  <si>
    <t xml:space="preserve">  (Ben Liu - Director)</t>
    <phoneticPr fontId="0" type="noConversion"/>
  </si>
  <si>
    <t>CL</t>
    <phoneticPr fontId="6" type="noConversion"/>
  </si>
  <si>
    <t>元朗宏業西街</t>
  </si>
  <si>
    <t>焚化爐（MVAC &amp; ELV）</t>
  </si>
  <si>
    <t>The day following the first day of January</t>
    <phoneticPr fontId="6" type="noConversion"/>
  </si>
  <si>
    <t>The second day of Lunar New Year</t>
    <phoneticPr fontId="6" type="noConversion"/>
  </si>
  <si>
    <t>The third day of Lunar New Year</t>
    <phoneticPr fontId="6" type="noConversion"/>
  </si>
  <si>
    <t>The fourth day of Lunar New Year</t>
    <phoneticPr fontId="6" type="noConversion"/>
  </si>
  <si>
    <t>Ching Ming Festival</t>
    <phoneticPr fontId="6" type="noConversion"/>
  </si>
  <si>
    <t>Easter Monday</t>
    <phoneticPr fontId="6" type="noConversion"/>
  </si>
  <si>
    <t>The day following the Chinese Mid-Autumn Festival</t>
    <phoneticPr fontId="6" type="noConversion"/>
  </si>
  <si>
    <t>The day following National Day</t>
    <phoneticPr fontId="6" type="noConversion"/>
  </si>
  <si>
    <t>Mon</t>
    <phoneticPr fontId="6" type="noConversion"/>
  </si>
  <si>
    <r>
      <t>/20</t>
    </r>
    <r>
      <rPr>
        <sz val="16"/>
        <rFont val="微軟正黑體"/>
        <family val="2"/>
        <charset val="136"/>
      </rPr>
      <t>23</t>
    </r>
    <phoneticPr fontId="0" type="noConversion"/>
  </si>
  <si>
    <t>2107EM20M</t>
  </si>
  <si>
    <t>2107EM20M</t>
    <phoneticPr fontId="6" type="noConversion"/>
  </si>
  <si>
    <t>Eastern Harbour Tunnel</t>
  </si>
  <si>
    <t>2656EM20M</t>
  </si>
  <si>
    <t>2656EM20M</t>
    <phoneticPr fontId="6" type="noConversion"/>
  </si>
  <si>
    <t>Hotung Secondary School</t>
  </si>
  <si>
    <t>3083EM20M</t>
  </si>
  <si>
    <t>3083EM20M</t>
    <phoneticPr fontId="6" type="noConversion"/>
  </si>
  <si>
    <t>Hong Kong Children's Hospital</t>
  </si>
  <si>
    <t>2435EM21M</t>
  </si>
  <si>
    <t>2435EM21M</t>
    <phoneticPr fontId="6" type="noConversion"/>
  </si>
  <si>
    <t>1497EM22M</t>
  </si>
  <si>
    <t>1497EM22M</t>
    <phoneticPr fontId="6" type="noConversion"/>
  </si>
  <si>
    <t>Shatin Hospital</t>
  </si>
  <si>
    <t>1611EM22M</t>
  </si>
  <si>
    <t>1611EM22M</t>
    <phoneticPr fontId="6" type="noConversion"/>
  </si>
  <si>
    <t>North Lantau Hospital</t>
  </si>
  <si>
    <t>1865EM22M</t>
  </si>
  <si>
    <t>1865EM22M</t>
    <phoneticPr fontId="6" type="noConversion"/>
  </si>
  <si>
    <t>J 220680-C</t>
  </si>
  <si>
    <t>Kai Tak 1B2</t>
  </si>
  <si>
    <t>J 230682</t>
  </si>
  <si>
    <t>Tsat Sing Kong</t>
  </si>
  <si>
    <t>1735EM22W</t>
  </si>
  <si>
    <t>1735EM22W</t>
    <phoneticPr fontId="6" type="noConversion"/>
  </si>
  <si>
    <t>New Territories West</t>
  </si>
  <si>
    <t>J 210652-C</t>
  </si>
  <si>
    <t>SC1108</t>
  </si>
  <si>
    <t>CL</t>
    <phoneticPr fontId="6" type="noConversion"/>
  </si>
  <si>
    <t>學校 Project</t>
  </si>
  <si>
    <t>Tendering</t>
  </si>
  <si>
    <t>Kai Tak 1B3</t>
  </si>
  <si>
    <t>GDS KC1</t>
  </si>
  <si>
    <t>EMSD Tender</t>
  </si>
  <si>
    <t>GDS KC2</t>
  </si>
  <si>
    <t>General Tendering</t>
  </si>
  <si>
    <t>元朗宏業西街</t>
    <phoneticPr fontId="6" type="noConversion"/>
  </si>
  <si>
    <t>Kai Tak 1B2</t>
    <phoneticPr fontId="6" type="noConversion"/>
  </si>
  <si>
    <t>Tsat Sing Kong</t>
    <phoneticPr fontId="6" type="noConversion"/>
  </si>
  <si>
    <t>焚化爐（MVAC &amp; ELV）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</si>
</sst>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[$-409]dd\ \-\ mmm;@"/>
    <numFmt numFmtId="168" formatCode="ddd"/>
    <numFmt numFmtId="169" formatCode="#,##0;\-#,##0;\-"/>
    <numFmt numFmtId="170" formatCode="ddd\,\ dd\ mmm\ yy"/>
  </numFmts>
  <fonts count="40">
    <font>
      <sz val="12"/>
      <name val="Arial"/>
      <family val="2"/>
    </font>
    <font>
      <sz val="12"/>
      <name val="Cambria"/>
      <family val="1"/>
    </font>
    <font>
      <sz val="11"/>
      <name val="Cambria"/>
      <family val="1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0"/>
      <name val="Cambria"/>
      <family val="1"/>
    </font>
    <font>
      <sz val="9"/>
      <name val="細明體"/>
      <family val="3"/>
      <charset val="136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Calibri"/>
      <family val="2"/>
      <charset val="136"/>
      <scheme val="minor"/>
    </font>
    <font>
      <sz val="9"/>
      <name val="新細明體"/>
      <family val="1"/>
      <charset val="136"/>
    </font>
    <font>
      <sz val="9"/>
      <name val="Calibri"/>
      <family val="2"/>
      <charset val="136"/>
      <scheme val="minor"/>
    </font>
    <font>
      <b/>
      <sz val="12"/>
      <name val="Arial"/>
      <family val="2"/>
    </font>
    <font>
      <b/>
      <sz val="22"/>
      <name val="Malgun Gothic"/>
      <family val="2"/>
      <charset val="129"/>
    </font>
    <font>
      <sz val="11"/>
      <name val="Malgun Gothic"/>
      <family val="2"/>
      <charset val="129"/>
    </font>
    <font>
      <sz val="13"/>
      <name val="Malgun Gothic"/>
      <family val="2"/>
      <charset val="129"/>
    </font>
    <font>
      <sz val="12"/>
      <name val="Malgun Gothic"/>
      <family val="2"/>
      <charset val="129"/>
    </font>
    <font>
      <b/>
      <sz val="20"/>
      <name val="Malgun Gothic"/>
      <family val="2"/>
      <charset val="129"/>
    </font>
    <font>
      <sz val="20"/>
      <name val="Malgun Gothic"/>
      <family val="2"/>
      <charset val="129"/>
    </font>
    <font>
      <b/>
      <sz val="10"/>
      <name val="Malgun Gothic"/>
      <family val="2"/>
      <charset val="129"/>
    </font>
    <font>
      <sz val="16"/>
      <name val="Malgun Gothic"/>
      <family val="2"/>
      <charset val="129"/>
    </font>
    <font>
      <sz val="10"/>
      <name val="Malgun Gothic"/>
      <family val="2"/>
      <charset val="129"/>
    </font>
    <font>
      <b/>
      <sz val="12"/>
      <name val="Malgun Gothic"/>
      <family val="2"/>
      <charset val="129"/>
    </font>
    <font>
      <sz val="9"/>
      <name val="Malgun Gothic"/>
      <family val="2"/>
      <charset val="129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0"/>
      <name val="微軟正黑體"/>
      <family val="2"/>
      <charset val="136"/>
    </font>
    <font>
      <sz val="12"/>
      <name val="細明體"/>
      <family val="3"/>
      <charset val="136"/>
    </font>
    <font>
      <sz val="16"/>
      <name val="微軟正黑體"/>
      <family val="2"/>
      <charset val="136"/>
    </font>
    <font>
      <sz val="10"/>
      <name val="Malgun Gothic"/>
      <family val="2"/>
    </font>
    <font>
      <sz val="9"/>
      <color theme="1" tint="0.249977111117893"/>
      <name val="Malgun Gothic"/>
      <family val="2"/>
    </font>
    <font>
      <sz val="9"/>
      <name val="Malgun Gothic"/>
      <family val="2"/>
    </font>
    <font>
      <b/>
      <sz val="10"/>
      <name val="Malgun Gothic"/>
      <family val="2"/>
    </font>
    <font>
      <sz val="12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0"/>
      <name val="Malgun Gothic Semilight"/>
      <family val="2"/>
      <charset val="136"/>
    </font>
    <font>
      <sz val="12"/>
      <name val="細明體"/>
      <family val="1"/>
      <charset val="136"/>
    </font>
    <font>
      <sz val="12"/>
      <name val="Cambria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166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1" applyFont="1">
      <alignment vertical="center"/>
    </xf>
    <xf numFmtId="0" fontId="1" fillId="0" borderId="0" xfId="1" applyFont="1">
      <alignment vertical="center"/>
    </xf>
    <xf numFmtId="0" fontId="5" fillId="0" borderId="0" xfId="0" applyFont="1"/>
    <xf numFmtId="0" fontId="8" fillId="0" borderId="0" xfId="3" applyFont="1" applyAlignment="1">
      <alignment horizontal="left" vertical="center"/>
    </xf>
    <xf numFmtId="0" fontId="8" fillId="0" borderId="0" xfId="3" applyFont="1">
      <alignment vertical="center"/>
    </xf>
    <xf numFmtId="0" fontId="8" fillId="0" borderId="0" xfId="3" applyFont="1" applyAlignment="1">
      <alignment vertical="top"/>
    </xf>
    <xf numFmtId="168" fontId="2" fillId="0" borderId="0" xfId="0" quotePrefix="1" applyNumberFormat="1" applyFont="1" applyAlignment="1">
      <alignment horizontal="center" vertical="center"/>
    </xf>
    <xf numFmtId="167" fontId="0" fillId="0" borderId="0" xfId="0" applyNumberFormat="1"/>
    <xf numFmtId="0" fontId="12" fillId="0" borderId="0" xfId="0" applyFont="1"/>
    <xf numFmtId="0" fontId="4" fillId="2" borderId="29" xfId="3" applyFont="1" applyFill="1" applyBorder="1" applyAlignment="1">
      <alignment horizontal="center" vertical="top" wrapText="1"/>
    </xf>
    <xf numFmtId="0" fontId="4" fillId="2" borderId="30" xfId="3" applyFont="1" applyFill="1" applyBorder="1" applyAlignment="1">
      <alignment horizontal="center" vertical="top"/>
    </xf>
    <xf numFmtId="0" fontId="4" fillId="0" borderId="0" xfId="3" applyFont="1" applyAlignment="1">
      <alignment horizontal="center" vertical="top" wrapText="1"/>
    </xf>
    <xf numFmtId="0" fontId="4" fillId="0" borderId="0" xfId="3" applyFont="1" applyAlignment="1">
      <alignment horizontal="center" vertical="top"/>
    </xf>
    <xf numFmtId="164" fontId="1" fillId="0" borderId="0" xfId="1" applyNumberFormat="1" applyFont="1">
      <alignment vertical="center"/>
    </xf>
    <xf numFmtId="164" fontId="1" fillId="0" borderId="17" xfId="2" applyNumberFormat="1" applyFont="1" applyBorder="1" applyAlignment="1" applyProtection="1">
      <alignment vertical="center" shrinkToFit="1"/>
    </xf>
    <xf numFmtId="164" fontId="1" fillId="0" borderId="20" xfId="2" applyNumberFormat="1" applyFont="1" applyBorder="1" applyAlignment="1" applyProtection="1">
      <alignment vertical="center" shrinkToFit="1"/>
    </xf>
    <xf numFmtId="0" fontId="21" fillId="0" borderId="2" xfId="0" applyFont="1" applyBorder="1" applyProtection="1">
      <protection hidden="1"/>
    </xf>
    <xf numFmtId="0" fontId="21" fillId="0" borderId="3" xfId="0" applyFont="1" applyBorder="1" applyProtection="1">
      <protection hidden="1"/>
    </xf>
    <xf numFmtId="0" fontId="21" fillId="0" borderId="3" xfId="0" applyFont="1" applyBorder="1" applyAlignment="1" applyProtection="1">
      <alignment horizontal="left"/>
      <protection hidden="1"/>
    </xf>
    <xf numFmtId="0" fontId="19" fillId="0" borderId="3" xfId="0" applyFont="1" applyBorder="1" applyProtection="1">
      <protection hidden="1"/>
    </xf>
    <xf numFmtId="169" fontId="23" fillId="0" borderId="0" xfId="0" applyNumberFormat="1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left" shrinkToFit="1"/>
      <protection hidden="1"/>
    </xf>
    <xf numFmtId="169" fontId="23" fillId="0" borderId="25" xfId="0" applyNumberFormat="1" applyFont="1" applyBorder="1" applyAlignment="1" applyProtection="1">
      <alignment horizontal="center"/>
      <protection hidden="1"/>
    </xf>
    <xf numFmtId="0" fontId="16" fillId="0" borderId="24" xfId="1" applyFont="1" applyBorder="1" applyAlignment="1" applyProtection="1">
      <protection hidden="1"/>
    </xf>
    <xf numFmtId="0" fontId="21" fillId="0" borderId="24" xfId="0" applyFont="1" applyBorder="1" applyProtection="1">
      <protection hidden="1"/>
    </xf>
    <xf numFmtId="0" fontId="5" fillId="0" borderId="24" xfId="0" applyFont="1" applyBorder="1" applyProtection="1">
      <protection hidden="1"/>
    </xf>
    <xf numFmtId="0" fontId="29" fillId="0" borderId="0" xfId="3" applyFont="1" applyAlignment="1">
      <alignment horizontal="left" vertical="center"/>
    </xf>
    <xf numFmtId="0" fontId="29" fillId="0" borderId="0" xfId="3" applyFont="1">
      <alignment vertical="center"/>
    </xf>
    <xf numFmtId="0" fontId="29" fillId="0" borderId="0" xfId="3" applyFont="1" applyAlignment="1">
      <alignment horizontal="center" vertical="top"/>
    </xf>
    <xf numFmtId="170" fontId="0" fillId="0" borderId="0" xfId="0" applyNumberFormat="1" applyAlignment="1">
      <alignment vertical="center"/>
    </xf>
    <xf numFmtId="0" fontId="12" fillId="0" borderId="17" xfId="0" applyFont="1" applyBorder="1"/>
    <xf numFmtId="0" fontId="21" fillId="0" borderId="20" xfId="0" applyFont="1" applyBorder="1" applyAlignment="1" applyProtection="1">
      <alignment vertical="center" shrinkToFit="1"/>
      <protection locked="0" hidden="1"/>
    </xf>
    <xf numFmtId="0" fontId="21" fillId="0" borderId="21" xfId="0" applyFont="1" applyBorder="1" applyAlignment="1" applyProtection="1">
      <alignment vertical="center" shrinkToFit="1"/>
      <protection locked="0" hidden="1"/>
    </xf>
    <xf numFmtId="0" fontId="21" fillId="0" borderId="22" xfId="0" applyFont="1" applyBorder="1" applyAlignment="1" applyProtection="1">
      <alignment vertical="center" shrinkToFit="1"/>
      <protection locked="0" hidden="1"/>
    </xf>
    <xf numFmtId="0" fontId="21" fillId="0" borderId="23" xfId="0" applyFont="1" applyBorder="1" applyAlignment="1" applyProtection="1">
      <alignment vertical="center" shrinkToFit="1"/>
      <protection locked="0" hidden="1"/>
    </xf>
    <xf numFmtId="0" fontId="19" fillId="0" borderId="0" xfId="1" applyFont="1" applyAlignment="1" applyProtection="1">
      <alignment horizontal="right"/>
      <protection hidden="1"/>
    </xf>
    <xf numFmtId="0" fontId="21" fillId="0" borderId="25" xfId="0" applyFont="1" applyBorder="1" applyProtection="1">
      <protection hidden="1"/>
    </xf>
    <xf numFmtId="0" fontId="21" fillId="0" borderId="0" xfId="0" applyFont="1" applyProtection="1">
      <protection hidden="1"/>
    </xf>
    <xf numFmtId="0" fontId="21" fillId="0" borderId="0" xfId="0" applyFont="1" applyAlignment="1" applyProtection="1">
      <alignment shrinkToFit="1"/>
      <protection hidden="1"/>
    </xf>
    <xf numFmtId="168" fontId="14" fillId="0" borderId="26" xfId="0" quotePrefix="1" applyNumberFormat="1" applyFont="1" applyBorder="1" applyAlignment="1" applyProtection="1">
      <alignment horizontal="center" vertical="center"/>
      <protection hidden="1"/>
    </xf>
    <xf numFmtId="168" fontId="14" fillId="0" borderId="17" xfId="0" quotePrefix="1" applyNumberFormat="1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shrinkToFit="1"/>
      <protection hidden="1"/>
    </xf>
    <xf numFmtId="0" fontId="21" fillId="0" borderId="1" xfId="0" applyFont="1" applyBorder="1" applyAlignment="1" applyProtection="1">
      <alignment shrinkToFit="1"/>
      <protection hidden="1"/>
    </xf>
    <xf numFmtId="0" fontId="32" fillId="0" borderId="0" xfId="1" applyFont="1" applyAlignment="1" applyProtection="1">
      <alignment shrinkToFit="1"/>
      <protection hidden="1"/>
    </xf>
    <xf numFmtId="0" fontId="33" fillId="0" borderId="0" xfId="0" applyFont="1" applyAlignment="1" applyProtection="1">
      <alignment shrinkToFit="1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7" fillId="0" borderId="0" xfId="0" quotePrefix="1" applyFont="1" applyAlignment="1" applyProtection="1">
      <alignment vertical="center"/>
      <protection hidden="1"/>
    </xf>
    <xf numFmtId="0" fontId="18" fillId="0" borderId="0" xfId="0" quotePrefix="1" applyFont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7" xfId="0" applyFont="1" applyBorder="1" applyAlignment="1" applyProtection="1">
      <alignment horizontal="center" shrinkToFit="1"/>
      <protection hidden="1"/>
    </xf>
    <xf numFmtId="0" fontId="24" fillId="0" borderId="8" xfId="0" applyFont="1" applyBorder="1" applyAlignment="1" applyProtection="1">
      <alignment horizontal="center" shrinkToFit="1"/>
      <protection hidden="1"/>
    </xf>
    <xf numFmtId="0" fontId="25" fillId="0" borderId="4" xfId="0" applyFont="1" applyBorder="1" applyAlignment="1" applyProtection="1">
      <alignment horizontal="center" shrinkToFit="1"/>
      <protection hidden="1"/>
    </xf>
    <xf numFmtId="0" fontId="14" fillId="0" borderId="9" xfId="0" applyFont="1" applyBorder="1" applyProtection="1">
      <protection hidden="1"/>
    </xf>
    <xf numFmtId="0" fontId="14" fillId="0" borderId="10" xfId="0" applyFont="1" applyBorder="1" applyAlignment="1" applyProtection="1">
      <alignment horizontal="center"/>
      <protection hidden="1"/>
    </xf>
    <xf numFmtId="0" fontId="14" fillId="0" borderId="10" xfId="0" applyFont="1" applyBorder="1" applyProtection="1">
      <protection hidden="1"/>
    </xf>
    <xf numFmtId="0" fontId="14" fillId="0" borderId="11" xfId="0" applyFont="1" applyBorder="1" applyAlignment="1" applyProtection="1">
      <alignment horizontal="center"/>
      <protection hidden="1"/>
    </xf>
    <xf numFmtId="0" fontId="21" fillId="0" borderId="12" xfId="0" quotePrefix="1" applyFont="1" applyBorder="1" applyAlignment="1" applyProtection="1">
      <alignment horizontal="center"/>
      <protection hidden="1"/>
    </xf>
    <xf numFmtId="0" fontId="21" fillId="0" borderId="13" xfId="0" quotePrefix="1" applyFont="1" applyBorder="1" applyAlignment="1" applyProtection="1">
      <alignment horizontal="center"/>
      <protection hidden="1"/>
    </xf>
    <xf numFmtId="0" fontId="31" fillId="0" borderId="12" xfId="0" quotePrefix="1" applyFont="1" applyBorder="1" applyAlignment="1" applyProtection="1">
      <alignment horizontal="center"/>
      <protection hidden="1"/>
    </xf>
    <xf numFmtId="0" fontId="21" fillId="0" borderId="14" xfId="0" applyFont="1" applyBorder="1" applyAlignment="1" applyProtection="1">
      <alignment horizontal="center" shrinkToFit="1"/>
      <protection hidden="1"/>
    </xf>
    <xf numFmtId="0" fontId="21" fillId="0" borderId="15" xfId="0" applyFont="1" applyBorder="1" applyAlignment="1" applyProtection="1">
      <alignment horizontal="center" shrinkToFit="1"/>
      <protection hidden="1"/>
    </xf>
    <xf numFmtId="0" fontId="21" fillId="0" borderId="16" xfId="0" applyFont="1" applyBorder="1" applyAlignment="1" applyProtection="1">
      <alignment horizontal="center" shrinkToFit="1"/>
      <protection hidden="1"/>
    </xf>
    <xf numFmtId="0" fontId="21" fillId="2" borderId="27" xfId="0" applyFont="1" applyFill="1" applyBorder="1" applyAlignment="1" applyProtection="1">
      <alignment vertical="center" shrinkToFit="1"/>
      <protection hidden="1"/>
    </xf>
    <xf numFmtId="0" fontId="21" fillId="2" borderId="20" xfId="0" applyFont="1" applyFill="1" applyBorder="1" applyAlignment="1" applyProtection="1">
      <alignment horizontal="center" vertical="center" shrinkToFit="1"/>
      <protection hidden="1"/>
    </xf>
    <xf numFmtId="0" fontId="21" fillId="2" borderId="5" xfId="0" applyFont="1" applyFill="1" applyBorder="1" applyAlignment="1" applyProtection="1">
      <alignment vertical="center" shrinkToFit="1"/>
      <protection hidden="1"/>
    </xf>
    <xf numFmtId="0" fontId="21" fillId="0" borderId="18" xfId="0" applyFont="1" applyBorder="1" applyProtection="1">
      <protection hidden="1"/>
    </xf>
    <xf numFmtId="0" fontId="21" fillId="0" borderId="1" xfId="0" applyFont="1" applyBorder="1" applyProtection="1">
      <protection hidden="1"/>
    </xf>
    <xf numFmtId="0" fontId="21" fillId="0" borderId="1" xfId="0" applyFont="1" applyBorder="1" applyAlignment="1" applyProtection="1">
      <alignment horizontal="left"/>
      <protection hidden="1"/>
    </xf>
    <xf numFmtId="169" fontId="21" fillId="0" borderId="1" xfId="1" applyNumberFormat="1" applyFont="1" applyBorder="1" applyAlignment="1" applyProtection="1">
      <alignment horizontal="center"/>
      <protection hidden="1"/>
    </xf>
    <xf numFmtId="0" fontId="21" fillId="0" borderId="23" xfId="0" applyFont="1" applyBorder="1" applyAlignment="1" applyProtection="1">
      <alignment horizontal="right"/>
      <protection hidden="1"/>
    </xf>
    <xf numFmtId="0" fontId="21" fillId="0" borderId="4" xfId="0" applyFont="1" applyBorder="1" applyProtection="1">
      <protection hidden="1"/>
    </xf>
    <xf numFmtId="0" fontId="21" fillId="0" borderId="4" xfId="0" applyFont="1" applyBorder="1" applyAlignment="1" applyProtection="1">
      <alignment horizontal="right"/>
      <protection hidden="1"/>
    </xf>
    <xf numFmtId="0" fontId="16" fillId="0" borderId="0" xfId="1" applyFont="1" applyProtection="1">
      <alignment vertical="center"/>
      <protection hidden="1"/>
    </xf>
    <xf numFmtId="0" fontId="21" fillId="0" borderId="25" xfId="0" applyFont="1" applyBorder="1" applyAlignment="1" applyProtection="1">
      <alignment horizontal="right"/>
      <protection hidden="1"/>
    </xf>
    <xf numFmtId="0" fontId="21" fillId="0" borderId="23" xfId="0" applyFont="1" applyBorder="1" applyProtection="1">
      <protection hidden="1"/>
    </xf>
    <xf numFmtId="0" fontId="21" fillId="0" borderId="25" xfId="0" applyFont="1" applyBorder="1" applyAlignment="1" applyProtection="1">
      <alignment shrinkToFit="1"/>
      <protection hidden="1"/>
    </xf>
    <xf numFmtId="0" fontId="32" fillId="0" borderId="0" xfId="1" applyFont="1" applyAlignment="1" applyProtection="1">
      <alignment horizontal="left" shrinkToFit="1"/>
      <protection hidden="1"/>
    </xf>
    <xf numFmtId="0" fontId="24" fillId="0" borderId="0" xfId="0" applyFont="1" applyProtection="1">
      <protection hidden="1"/>
    </xf>
    <xf numFmtId="0" fontId="21" fillId="0" borderId="0" xfId="0" applyFont="1" applyProtection="1">
      <protection hidden="1"/>
    </xf>
    <xf numFmtId="0" fontId="21" fillId="0" borderId="0" xfId="0" applyFont="1" applyAlignment="1" applyProtection="1">
      <alignment shrinkToFit="1"/>
      <protection hidden="1"/>
    </xf>
    <xf numFmtId="0" fontId="1" fillId="0" borderId="17" xfId="1" applyFont="1" applyBorder="1" applyAlignment="1">
      <alignment horizontal="center" vertical="center" shrinkToFit="1"/>
    </xf>
    <xf numFmtId="167" fontId="14" fillId="0" borderId="5" xfId="0" applyNumberFormat="1" applyFont="1" applyBorder="1" applyAlignment="1" applyProtection="1">
      <alignment horizontal="center" vertical="center"/>
      <protection hidden="1"/>
    </xf>
    <xf numFmtId="167" fontId="14" fillId="0" borderId="6" xfId="0" applyNumberFormat="1" applyFont="1" applyBorder="1" applyAlignment="1" applyProtection="1">
      <alignment horizontal="center" vertical="center"/>
      <protection hidden="1"/>
    </xf>
    <xf numFmtId="167" fontId="14" fillId="0" borderId="20" xfId="0" applyNumberFormat="1" applyFont="1" applyBorder="1" applyAlignment="1" applyProtection="1">
      <alignment horizontal="center" vertical="center"/>
      <protection hidden="1"/>
    </xf>
    <xf numFmtId="0" fontId="21" fillId="0" borderId="5" xfId="0" applyFont="1" applyBorder="1" applyAlignment="1" applyProtection="1">
      <alignment horizontal="center" vertical="center" shrinkToFit="1"/>
      <protection locked="0"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0" fontId="21" fillId="0" borderId="20" xfId="0" applyFont="1" applyBorder="1" applyAlignment="1" applyProtection="1">
      <alignment horizontal="center" vertical="center" shrinkToFit="1"/>
      <protection locked="0" hidden="1"/>
    </xf>
    <xf numFmtId="167" fontId="14" fillId="0" borderId="27" xfId="0" applyNumberFormat="1" applyFont="1" applyBorder="1" applyAlignment="1" applyProtection="1">
      <alignment horizontal="center" vertical="center"/>
      <protection hidden="1"/>
    </xf>
    <xf numFmtId="167" fontId="14" fillId="0" borderId="28" xfId="0" applyNumberFormat="1" applyFont="1" applyBorder="1" applyAlignment="1" applyProtection="1">
      <alignment horizontal="center" vertical="center"/>
      <protection hidden="1"/>
    </xf>
    <xf numFmtId="167" fontId="14" fillId="0" borderId="19" xfId="0" applyNumberFormat="1" applyFont="1" applyBorder="1" applyAlignment="1" applyProtection="1">
      <alignment horizontal="center" vertical="center"/>
      <protection hidden="1"/>
    </xf>
    <xf numFmtId="0" fontId="21" fillId="0" borderId="27" xfId="0" applyFont="1" applyBorder="1" applyAlignment="1" applyProtection="1">
      <alignment horizontal="center" vertical="center" shrinkToFit="1"/>
      <protection locked="0" hidden="1"/>
    </xf>
    <xf numFmtId="0" fontId="21" fillId="0" borderId="28" xfId="0" applyFont="1" applyBorder="1" applyAlignment="1" applyProtection="1">
      <alignment horizontal="center" vertical="center" shrinkToFit="1"/>
      <protection locked="0" hidden="1"/>
    </xf>
    <xf numFmtId="0" fontId="21" fillId="0" borderId="19" xfId="0" applyFont="1" applyBorder="1" applyAlignment="1" applyProtection="1">
      <alignment horizontal="center" vertical="center" shrinkToFit="1"/>
      <protection locked="0" hidden="1"/>
    </xf>
    <xf numFmtId="0" fontId="38" fillId="0" borderId="17" xfId="1" applyFont="1" applyBorder="1" applyAlignment="1">
      <alignment horizontal="center" vertical="center" shrinkToFit="1"/>
    </xf>
    <xf numFmtId="0" fontId="39" fillId="0" borderId="17" xfId="1" applyFont="1" applyBorder="1" applyAlignment="1">
      <alignment horizontal="center" vertical="center" shrinkToFit="1"/>
    </xf>
    <xf numFmtId="0" fontId="13" fillId="0" borderId="1" xfId="0" applyFont="1" applyBorder="1" applyAlignment="1" applyProtection="1">
      <alignment horizontal="center" vertical="center" shrinkToFit="1"/>
      <protection locked="0" hidden="1"/>
    </xf>
    <xf numFmtId="0" fontId="20" fillId="0" borderId="0" xfId="0" quotePrefix="1" applyFont="1" applyAlignment="1" applyProtection="1">
      <alignment horizontal="center"/>
      <protection hidden="1"/>
    </xf>
    <xf numFmtId="0" fontId="20" fillId="0" borderId="1" xfId="0" quotePrefix="1" applyFont="1" applyBorder="1" applyAlignment="1" applyProtection="1">
      <alignment horizontal="center"/>
      <protection hidden="1"/>
    </xf>
    <xf numFmtId="0" fontId="21" fillId="0" borderId="1" xfId="0" applyFont="1" applyBorder="1" applyAlignment="1" applyProtection="1">
      <alignment horizontal="center"/>
      <protection hidden="1"/>
    </xf>
    <xf numFmtId="0" fontId="25" fillId="0" borderId="2" xfId="0" applyFont="1" applyBorder="1" applyAlignment="1" applyProtection="1">
      <alignment horizontal="center"/>
      <protection hidden="1"/>
    </xf>
    <xf numFmtId="0" fontId="25" fillId="0" borderId="3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0" fontId="14" fillId="0" borderId="6" xfId="0" applyFont="1" applyBorder="1" applyAlignment="1" applyProtection="1">
      <alignment horizontal="center"/>
      <protection hidden="1"/>
    </xf>
    <xf numFmtId="0" fontId="35" fillId="0" borderId="1" xfId="0" applyFont="1" applyBorder="1" applyAlignment="1" applyProtection="1">
      <alignment horizontal="center" vertical="center"/>
      <protection locked="0" hidden="1"/>
    </xf>
    <xf numFmtId="0" fontId="16" fillId="0" borderId="1" xfId="0" applyFont="1" applyBorder="1" applyAlignment="1" applyProtection="1">
      <alignment horizontal="center" vertical="center"/>
      <protection locked="0" hidden="1"/>
    </xf>
    <xf numFmtId="0" fontId="21" fillId="0" borderId="0" xfId="0" applyFont="1" applyAlignment="1" applyProtection="1">
      <alignment horizontal="center" vertical="center"/>
      <protection hidden="1"/>
    </xf>
    <xf numFmtId="0" fontId="36" fillId="0" borderId="1" xfId="0" applyFont="1" applyBorder="1" applyAlignment="1" applyProtection="1">
      <alignment horizontal="center" vertical="center"/>
      <protection locked="0" hidden="1"/>
    </xf>
    <xf numFmtId="0" fontId="22" fillId="0" borderId="1" xfId="0" applyFont="1" applyBorder="1" applyAlignment="1" applyProtection="1">
      <alignment horizontal="center" vertical="center"/>
      <protection locked="0" hidden="1"/>
    </xf>
    <xf numFmtId="0" fontId="31" fillId="2" borderId="13" xfId="0" quotePrefix="1" applyFont="1" applyFill="1" applyBorder="1" applyAlignment="1" applyProtection="1">
      <alignment horizontal="center"/>
      <protection hidden="1"/>
    </xf>
    <xf numFmtId="0" fontId="21" fillId="2" borderId="31" xfId="0" quotePrefix="1" applyFont="1" applyFill="1" applyBorder="1" applyAlignment="1" applyProtection="1">
      <alignment horizontal="center"/>
      <protection hidden="1"/>
    </xf>
    <xf numFmtId="0" fontId="1" fillId="0" borderId="20" xfId="1" applyFont="1" applyBorder="1" applyAlignment="1">
      <alignment horizontal="center" vertical="center" shrinkToFit="1"/>
    </xf>
    <xf numFmtId="0" fontId="31" fillId="0" borderId="0" xfId="0" applyFont="1" applyAlignment="1" applyProtection="1">
      <alignment shrinkToFit="1"/>
      <protection hidden="1"/>
    </xf>
    <xf numFmtId="0" fontId="21" fillId="0" borderId="10" xfId="0" applyFont="1" applyBorder="1" applyAlignment="1" applyProtection="1">
      <alignment horizontal="center" shrinkToFit="1"/>
      <protection hidden="1"/>
    </xf>
    <xf numFmtId="0" fontId="37" fillId="0" borderId="3" xfId="0" applyFont="1" applyBorder="1" applyAlignment="1" applyProtection="1">
      <alignment horizontal="center"/>
      <protection hidden="1"/>
    </xf>
    <xf numFmtId="0" fontId="37" fillId="0" borderId="4" xfId="0" applyFont="1" applyBorder="1" applyAlignment="1" applyProtection="1">
      <alignment horizontal="center"/>
      <protection hidden="1"/>
    </xf>
    <xf numFmtId="0" fontId="33" fillId="0" borderId="0" xfId="0" applyFont="1" applyAlignment="1" applyProtection="1">
      <alignment horizontal="left" shrinkToFit="1"/>
      <protection hidden="1"/>
    </xf>
    <xf numFmtId="0" fontId="33" fillId="0" borderId="0" xfId="0" applyFont="1" applyAlignment="1" applyProtection="1">
      <alignment horizontal="center" shrinkToFit="1"/>
      <protection hidden="1"/>
    </xf>
  </cellXfs>
  <cellStyles count="8">
    <cellStyle name="Comma" xfId="2" builtinId="3"/>
    <cellStyle name="Normal" xfId="0" builtinId="0"/>
    <cellStyle name="一般 2" xfId="3" xr:uid="{00000000-0005-0000-0000-000002000000}"/>
    <cellStyle name="一般 3" xfId="4" xr:uid="{00000000-0005-0000-0000-000003000000}"/>
    <cellStyle name="一般_MEIL 2nd Sheet (Co. Name)" xfId="1" xr:uid="{00000000-0005-0000-0000-000004000000}"/>
    <cellStyle name="千分位 2" xfId="7" xr:uid="{00000000-0005-0000-0000-000005000000}"/>
    <cellStyle name="百分比 2" xfId="6" xr:uid="{00000000-0005-0000-0000-000006000000}"/>
    <cellStyle name="貨幣 2" xfId="5" xr:uid="{00000000-0005-0000-0000-000007000000}"/>
  </cellStyles>
  <dxfs count="34">
    <dxf>
      <font>
        <color rgb="FFFF0000"/>
      </font>
      <fill>
        <patternFill>
          <bgColor theme="5" tint="0.79998168889431442"/>
        </patternFill>
      </fill>
    </dxf>
    <dxf>
      <font>
        <b/>
        <i val="0"/>
      </font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CT54"/>
  <sheetViews>
    <sheetView tabSelected="1" topLeftCell="A31" zoomScale="130" zoomScaleNormal="130" zoomScaleSheetLayoutView="115" workbookViewId="0">
      <selection activeCell="O49" sqref="O49"/>
    </sheetView>
  </sheetViews>
  <sheetFormatPr baseColWidth="10" defaultColWidth="8" defaultRowHeight="16"/>
  <cols>
    <col min="1" max="1" width="3.42578125" style="3" customWidth="1"/>
    <col min="2" max="2" width="1.42578125" style="3" customWidth="1"/>
    <col min="3" max="3" width="3.5703125" style="3" customWidth="1"/>
    <col min="4" max="4" width="7.7109375" style="3" customWidth="1"/>
    <col min="5" max="13" width="7.7109375" style="2" customWidth="1"/>
    <col min="14" max="15" width="8.7109375" style="2" customWidth="1"/>
    <col min="16" max="16" width="8" style="2" customWidth="1"/>
    <col min="17" max="17" width="3.42578125" style="2" hidden="1" customWidth="1"/>
    <col min="18" max="22" width="3.28515625" style="2" hidden="1" customWidth="1"/>
    <col min="23" max="23" width="3.7109375" style="2" hidden="1" customWidth="1"/>
    <col min="24" max="24" width="3.28515625" style="2" hidden="1" customWidth="1"/>
    <col min="25" max="25" width="3.7109375" style="2" hidden="1" customWidth="1"/>
    <col min="26" max="26" width="3.28515625" style="2" hidden="1" customWidth="1"/>
    <col min="27" max="27" width="3.7109375" style="2" hidden="1" customWidth="1"/>
    <col min="28" max="43" width="3.28515625" style="2" hidden="1" customWidth="1"/>
    <col min="44" max="44" width="3.7109375" style="2" hidden="1" customWidth="1"/>
    <col min="45" max="63" width="3.28515625" style="2" hidden="1" customWidth="1"/>
    <col min="64" max="64" width="3.7109375" style="2" hidden="1" customWidth="1"/>
    <col min="65" max="96" width="3.28515625" style="2" hidden="1" customWidth="1"/>
    <col min="97" max="98" width="8" style="2" hidden="1" customWidth="1"/>
    <col min="99" max="112" width="8" style="2" customWidth="1"/>
    <col min="113" max="16384" width="8" style="2"/>
  </cols>
  <sheetData>
    <row r="1" spans="1:98" s="1" customFormat="1" ht="28.5" customHeight="1">
      <c r="A1" s="46" t="s">
        <v>118</v>
      </c>
      <c r="B1" s="46"/>
      <c r="C1" s="46"/>
      <c r="D1" s="46"/>
      <c r="E1" s="46"/>
      <c r="F1" s="47"/>
      <c r="G1" s="48"/>
      <c r="H1" s="48"/>
      <c r="I1" s="48"/>
      <c r="J1" s="48"/>
      <c r="K1" s="49"/>
      <c r="L1" s="50"/>
      <c r="M1" s="51"/>
      <c r="N1" s="52"/>
      <c r="O1" s="53"/>
      <c r="P1" s="54"/>
    </row>
    <row r="2" spans="1:98" s="1" customFormat="1" ht="9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46"/>
      <c r="O2" s="46"/>
      <c r="P2" s="106" t="s">
        <v>153</v>
      </c>
    </row>
    <row r="3" spans="1:98" ht="26.25" customHeight="1">
      <c r="A3" s="55" t="s">
        <v>72</v>
      </c>
      <c r="B3" s="55"/>
      <c r="C3" s="55"/>
      <c r="D3" s="55"/>
      <c r="E3" s="114"/>
      <c r="F3" s="115"/>
      <c r="G3" s="115"/>
      <c r="H3" s="115"/>
      <c r="I3" s="56"/>
      <c r="J3" s="49"/>
      <c r="K3" s="50"/>
      <c r="L3" s="50"/>
      <c r="M3" s="49" t="s">
        <v>71</v>
      </c>
      <c r="N3" s="105" t="s">
        <v>54</v>
      </c>
      <c r="O3" s="105"/>
      <c r="P3" s="107"/>
    </row>
    <row r="4" spans="1:98" ht="10" customHeight="1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</row>
    <row r="5" spans="1:98" ht="27" customHeight="1">
      <c r="A5" s="57" t="s">
        <v>73</v>
      </c>
      <c r="B5" s="57"/>
      <c r="C5" s="57"/>
      <c r="D5" s="55"/>
      <c r="E5" s="114"/>
      <c r="F5" s="115"/>
      <c r="G5" s="115"/>
      <c r="H5" s="115"/>
      <c r="I5" s="55"/>
      <c r="J5" s="55"/>
      <c r="K5" s="55"/>
      <c r="L5" s="55"/>
      <c r="M5" s="49" t="s">
        <v>74</v>
      </c>
      <c r="N5" s="117"/>
      <c r="O5" s="118"/>
      <c r="P5" s="118"/>
    </row>
    <row r="6" spans="1:98" ht="10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</row>
    <row r="7" spans="1:98" ht="20.25" customHeight="1">
      <c r="A7" s="109" t="s">
        <v>0</v>
      </c>
      <c r="B7" s="110"/>
      <c r="C7" s="111"/>
      <c r="D7" s="58" t="s">
        <v>1</v>
      </c>
      <c r="E7" s="112" t="s">
        <v>138</v>
      </c>
      <c r="F7" s="113"/>
      <c r="G7" s="113"/>
      <c r="H7" s="113"/>
      <c r="I7" s="113"/>
      <c r="J7" s="113"/>
      <c r="K7" s="113"/>
      <c r="L7" s="113"/>
      <c r="M7" s="113"/>
      <c r="N7" s="59" t="s">
        <v>68</v>
      </c>
      <c r="O7" s="60" t="s">
        <v>70</v>
      </c>
      <c r="P7" s="61" t="s">
        <v>69</v>
      </c>
    </row>
    <row r="8" spans="1:98" ht="20.25" customHeight="1" thickBot="1">
      <c r="A8" s="62"/>
      <c r="B8" s="63" t="s">
        <v>2</v>
      </c>
      <c r="C8" s="64"/>
      <c r="D8" s="65" t="s">
        <v>3</v>
      </c>
      <c r="E8" s="66" t="s">
        <v>4</v>
      </c>
      <c r="F8" s="66" t="s">
        <v>5</v>
      </c>
      <c r="G8" s="67" t="s">
        <v>6</v>
      </c>
      <c r="H8" s="119" t="s">
        <v>133</v>
      </c>
      <c r="I8" s="120"/>
      <c r="J8" s="68" t="s">
        <v>134</v>
      </c>
      <c r="K8" s="66" t="s">
        <v>7</v>
      </c>
      <c r="L8" s="66" t="s">
        <v>8</v>
      </c>
      <c r="M8" s="67" t="s">
        <v>9</v>
      </c>
      <c r="N8" s="69" t="s">
        <v>10</v>
      </c>
      <c r="O8" s="70" t="s">
        <v>11</v>
      </c>
      <c r="P8" s="71" t="s">
        <v>12</v>
      </c>
      <c r="Q8" s="121" t="s">
        <v>66</v>
      </c>
      <c r="R8" s="90"/>
      <c r="S8" s="90" t="s">
        <v>14</v>
      </c>
      <c r="T8" s="90"/>
      <c r="U8" s="90" t="s">
        <v>15</v>
      </c>
      <c r="V8" s="90"/>
      <c r="W8" s="90" t="s">
        <v>16</v>
      </c>
      <c r="X8" s="90"/>
      <c r="Y8" s="90" t="s">
        <v>141</v>
      </c>
      <c r="Z8" s="90"/>
      <c r="AA8" s="90" t="s">
        <v>139</v>
      </c>
      <c r="AB8" s="90"/>
      <c r="AC8" s="90" t="s">
        <v>86</v>
      </c>
      <c r="AD8" s="90"/>
      <c r="AE8" s="90" t="s">
        <v>155</v>
      </c>
      <c r="AF8" s="90"/>
      <c r="AG8" s="90" t="s">
        <v>158</v>
      </c>
      <c r="AH8" s="90"/>
      <c r="AI8" s="90" t="s">
        <v>161</v>
      </c>
      <c r="AJ8" s="90"/>
      <c r="AK8" s="90" t="s">
        <v>164</v>
      </c>
      <c r="AL8" s="90"/>
      <c r="AM8" s="90" t="s">
        <v>166</v>
      </c>
      <c r="AN8" s="90"/>
      <c r="AO8" s="90" t="s">
        <v>169</v>
      </c>
      <c r="AP8" s="90"/>
      <c r="AQ8" s="90" t="s">
        <v>172</v>
      </c>
      <c r="AR8" s="90"/>
      <c r="AS8" s="90" t="s">
        <v>178</v>
      </c>
      <c r="AT8" s="90"/>
      <c r="AU8" s="90" t="s">
        <v>190</v>
      </c>
      <c r="AV8" s="90"/>
      <c r="AW8" s="90" t="s">
        <v>191</v>
      </c>
      <c r="AX8" s="90"/>
      <c r="AY8" s="90" t="s">
        <v>192</v>
      </c>
      <c r="AZ8" s="90"/>
      <c r="BA8" s="90" t="s">
        <v>193</v>
      </c>
      <c r="BB8" s="90"/>
      <c r="BC8" s="90" t="s">
        <v>189</v>
      </c>
      <c r="BD8" s="90"/>
      <c r="BE8" s="90" t="s">
        <v>187</v>
      </c>
      <c r="BF8" s="90"/>
      <c r="BG8" s="90" t="s">
        <v>185</v>
      </c>
      <c r="BH8" s="90"/>
      <c r="BI8" s="90" t="s">
        <v>186</v>
      </c>
      <c r="BJ8" s="90"/>
      <c r="BK8" s="90" t="s">
        <v>188</v>
      </c>
      <c r="BL8" s="90"/>
      <c r="BM8" s="90"/>
      <c r="BN8" s="90"/>
      <c r="BO8" s="103"/>
      <c r="BP8" s="90"/>
      <c r="BQ8" s="104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 t="s">
        <v>135</v>
      </c>
      <c r="CP8" s="90"/>
      <c r="CQ8" s="90" t="s">
        <v>136</v>
      </c>
      <c r="CR8" s="90"/>
    </row>
    <row r="9" spans="1:98" ht="20.25" customHeight="1" thickTop="1">
      <c r="A9" s="97">
        <f>IF(N3="Jan",'Quad-Tech'!A2,IF(N3="Feb",'Quad-Tech'!A33,IF(N3="Mar",'Quad-Tech'!A61,IF(N3="Apr",'Quad-Tech'!A92,IF(N3="May",'Quad-Tech'!A122,IF(N3="Jun",'Quad-Tech'!A153,IF(N3="Jul",'Quad-Tech'!A183,IF(N3="Aug",'Quad-Tech'!A214,IF(N3="Sep",'Quad-Tech'!A245,IF(N3="Oct",'Quad-Tech'!A275,IF(N3="Nov",'Quad-Tech'!A306,IF(N3="Dec",'Quad-Tech'!A336))))))))))))</f>
        <v>44986</v>
      </c>
      <c r="B9" s="98"/>
      <c r="C9" s="99"/>
      <c r="D9" s="40" t="str">
        <f>VLOOKUP(A9,'Quad-Tech'!A2:B366,2,FALSE)</f>
        <v>Wed</v>
      </c>
      <c r="E9" s="100" t="s">
        <v>157</v>
      </c>
      <c r="F9" s="101"/>
      <c r="G9" s="102"/>
      <c r="H9" s="72"/>
      <c r="I9" s="73"/>
      <c r="J9" s="94" t="s">
        <v>187</v>
      </c>
      <c r="K9" s="101"/>
      <c r="L9" s="101"/>
      <c r="M9" s="102"/>
      <c r="N9" s="33"/>
      <c r="O9" s="34"/>
      <c r="P9" s="35"/>
      <c r="Q9" s="16">
        <f>IF($E9=Q$8,1,0)</f>
        <v>0</v>
      </c>
      <c r="R9" s="15">
        <f>IF($J9=Q$8,1,0)</f>
        <v>0</v>
      </c>
      <c r="S9" s="15">
        <f t="shared" ref="S9:S24" si="0">IF($E9=S$8,1,0)</f>
        <v>0</v>
      </c>
      <c r="T9" s="15">
        <f t="shared" ref="T9:T39" si="1">IF($J9=S$8,1,0)</f>
        <v>0</v>
      </c>
      <c r="U9" s="15">
        <f t="shared" ref="U9:U24" si="2">IF($E9=U$8,1,0)</f>
        <v>0</v>
      </c>
      <c r="V9" s="15">
        <f t="shared" ref="V9:V39" si="3">IF($J9=U$8,1,0)</f>
        <v>0</v>
      </c>
      <c r="W9" s="15">
        <f t="shared" ref="W9:AC24" si="4">IF($E9=W$8,1,0)</f>
        <v>0</v>
      </c>
      <c r="X9" s="15">
        <f t="shared" ref="X9:X39" si="5">IF($J9=W$8,1,0)</f>
        <v>0</v>
      </c>
      <c r="Y9" s="15">
        <f t="shared" si="4"/>
        <v>0</v>
      </c>
      <c r="Z9" s="15">
        <f t="shared" ref="Z9:Z39" si="6">IF($J9=Y$8,1,0)</f>
        <v>0</v>
      </c>
      <c r="AA9" s="15">
        <f t="shared" si="4"/>
        <v>0</v>
      </c>
      <c r="AB9" s="15">
        <f t="shared" ref="AB9:AB39" si="7">IF($J9=AA$8,1,0)</f>
        <v>0</v>
      </c>
      <c r="AC9" s="15">
        <f t="shared" si="4"/>
        <v>0</v>
      </c>
      <c r="AD9" s="15">
        <f>IF($J9=AC$8,1,0)</f>
        <v>0</v>
      </c>
      <c r="AE9" s="15">
        <f t="shared" ref="AE9:AE24" si="8">IF($E9=AE$8,1,0)</f>
        <v>0</v>
      </c>
      <c r="AF9" s="15">
        <f t="shared" ref="AF9:AF39" si="9">IF($J9=AE$8,1,0)</f>
        <v>0</v>
      </c>
      <c r="AG9" s="15">
        <f t="shared" ref="AG9:AG24" si="10">IF($E9=AG$8,1,0)</f>
        <v>1</v>
      </c>
      <c r="AH9" s="15">
        <f t="shared" ref="AH9:AH39" si="11">IF($J9=AG$8,1,0)</f>
        <v>0</v>
      </c>
      <c r="AI9" s="15">
        <f t="shared" ref="AI9:AI24" si="12">IF($E9=AI$8,1,0)</f>
        <v>0</v>
      </c>
      <c r="AJ9" s="15">
        <f t="shared" ref="AJ9:AJ39" si="13">IF($J9=AI$8,1,0)</f>
        <v>0</v>
      </c>
      <c r="AK9" s="15">
        <f t="shared" ref="AK9:AK24" si="14">IF($E9=AK$8,1,0)</f>
        <v>0</v>
      </c>
      <c r="AL9" s="15">
        <f t="shared" ref="AL9:AL39" si="15">IF($J9=AK$8,1,0)</f>
        <v>0</v>
      </c>
      <c r="AM9" s="15">
        <f t="shared" ref="AM9:AM24" si="16">IF($E9=AM$8,1,0)</f>
        <v>0</v>
      </c>
      <c r="AN9" s="15">
        <f t="shared" ref="AN9:AN39" si="17">IF($J9=AM$8,1,0)</f>
        <v>0</v>
      </c>
      <c r="AO9" s="15">
        <f t="shared" ref="AO9:AO24" si="18">IF($E9=AO$8,1,0)</f>
        <v>0</v>
      </c>
      <c r="AP9" s="15">
        <f t="shared" ref="AP9:AP39" si="19">IF($J9=AO$8,1,0)</f>
        <v>0</v>
      </c>
      <c r="AQ9" s="15">
        <f t="shared" ref="AQ9:AQ24" si="20">IF($E9=AQ$8,1,0)</f>
        <v>0</v>
      </c>
      <c r="AR9" s="15">
        <f t="shared" ref="AR9:AR39" si="21">IF($J9=AQ$8,1,0)</f>
        <v>0</v>
      </c>
      <c r="AS9" s="15">
        <f t="shared" ref="AS9:AS24" si="22">IF($E9=AS$8,1,0)</f>
        <v>0</v>
      </c>
      <c r="AT9" s="15">
        <f t="shared" ref="AT9:AT39" si="23">IF($J9=AS$8,1,0)</f>
        <v>0</v>
      </c>
      <c r="AU9" s="15">
        <f t="shared" ref="AU9:AU24" si="24">IF($E9=AU$8,1,0)</f>
        <v>0</v>
      </c>
      <c r="AV9" s="15">
        <f t="shared" ref="AV9:AV39" si="25">IF($J9=AU$8,1,0)</f>
        <v>0</v>
      </c>
      <c r="AW9" s="15">
        <f t="shared" ref="AW9:AW24" si="26">IF($E9=AW$8,1,0)</f>
        <v>0</v>
      </c>
      <c r="AX9" s="15">
        <f t="shared" ref="AX9:AX39" si="27">IF($J9=AW$8,1,0)</f>
        <v>0</v>
      </c>
      <c r="AY9" s="15">
        <f t="shared" ref="AY9:AY24" si="28">IF($E9=AY$8,1,0)</f>
        <v>0</v>
      </c>
      <c r="AZ9" s="15">
        <f t="shared" ref="AZ9:AZ39" si="29">IF($J9=AY$8,1,0)</f>
        <v>0</v>
      </c>
      <c r="BA9" s="15">
        <f t="shared" ref="BA9:BA24" si="30">IF($E9=BA$8,1,0)</f>
        <v>0</v>
      </c>
      <c r="BB9" s="15">
        <f t="shared" ref="BB9:BB39" si="31">IF($J9=BA$8,1,0)</f>
        <v>0</v>
      </c>
      <c r="BC9" s="15">
        <f t="shared" ref="BC9:BC24" si="32">IF($E9=BC$8,1,0)</f>
        <v>0</v>
      </c>
      <c r="BD9" s="15">
        <f t="shared" ref="BD9:BD39" si="33">IF($J9=BC$8,1,0)</f>
        <v>0</v>
      </c>
      <c r="BE9" s="15">
        <f t="shared" ref="BE9:BE24" si="34">IF($E9=BE$8,1,0)</f>
        <v>0</v>
      </c>
      <c r="BF9" s="15">
        <f t="shared" ref="BF9:BF39" si="35">IF($J9=BE$8,1,0)</f>
        <v>1</v>
      </c>
      <c r="BG9" s="15">
        <f t="shared" ref="BG9:BG24" si="36">IF($E9=BG$8,1,0)</f>
        <v>0</v>
      </c>
      <c r="BH9" s="15">
        <f t="shared" ref="BH9:BH39" si="37">IF($J9=BG$8,1,0)</f>
        <v>0</v>
      </c>
      <c r="BI9" s="15">
        <f t="shared" ref="BI9:BI24" si="38">IF($E9=BI$8,1,0)</f>
        <v>0</v>
      </c>
      <c r="BJ9" s="15">
        <f t="shared" ref="BJ9:BJ39" si="39">IF($J9=BI$8,1,0)</f>
        <v>0</v>
      </c>
      <c r="BK9" s="15">
        <f t="shared" ref="BK9:BK24" si="40">IF($E9=BK$8,1,0)</f>
        <v>0</v>
      </c>
      <c r="BL9" s="15">
        <f t="shared" ref="BL9:BL39" si="41">IF($J9=BK$8,1,0)</f>
        <v>0</v>
      </c>
      <c r="BM9" s="15">
        <f t="shared" ref="BM9:BM24" si="42">IF($E9=BM$8,1,0)</f>
        <v>0</v>
      </c>
      <c r="BN9" s="15">
        <f t="shared" ref="BN9:BN39" si="43">IF($J9=BM$8,1,0)</f>
        <v>0</v>
      </c>
      <c r="BO9" s="15">
        <f t="shared" ref="BO9:BO39" si="44">IF($E9=BO$8,1,0)</f>
        <v>0</v>
      </c>
      <c r="BP9" s="15">
        <f t="shared" ref="BP9:BP39" si="45">IF($J9=BO$8,1,0)</f>
        <v>0</v>
      </c>
      <c r="BQ9" s="15">
        <f t="shared" ref="BQ9:BQ39" si="46">IF($E9=BQ$8,1,0)</f>
        <v>0</v>
      </c>
      <c r="BR9" s="15">
        <f t="shared" ref="BR9:BR39" si="47">IF($J9=BQ$8,1,0)</f>
        <v>0</v>
      </c>
      <c r="BS9" s="15">
        <f t="shared" ref="BS9:BS39" si="48">IF($E9=BS$8,1,0)</f>
        <v>0</v>
      </c>
      <c r="BT9" s="15">
        <f t="shared" ref="BT9:BT39" si="49">IF($J9=BS$8,1,0)</f>
        <v>0</v>
      </c>
      <c r="BU9" s="15">
        <f t="shared" ref="BU9:BU39" si="50">IF($E9=BU$8,1,0)</f>
        <v>0</v>
      </c>
      <c r="BV9" s="15">
        <f t="shared" ref="BV9:BV39" si="51">IF($J9=BU$8,1,0)</f>
        <v>0</v>
      </c>
      <c r="BW9" s="15">
        <f t="shared" ref="BW9:BW39" si="52">IF($E9=BW$8,1,0)</f>
        <v>0</v>
      </c>
      <c r="BX9" s="15">
        <f t="shared" ref="BX9:BX39" si="53">IF($J9=BW$8,1,0)</f>
        <v>0</v>
      </c>
      <c r="BY9" s="15">
        <f t="shared" ref="BY9:BY39" si="54">IF($E9=BY$8,1,0)</f>
        <v>0</v>
      </c>
      <c r="BZ9" s="15">
        <f t="shared" ref="BZ9:BZ39" si="55">IF($J9=BY$8,1,0)</f>
        <v>0</v>
      </c>
      <c r="CA9" s="15">
        <f t="shared" ref="CA9:CA39" si="56">IF($E9=CA$8,1,0)</f>
        <v>0</v>
      </c>
      <c r="CB9" s="15">
        <f t="shared" ref="CB9:CB39" si="57">IF($J9=CA$8,1,0)</f>
        <v>0</v>
      </c>
      <c r="CC9" s="15">
        <f t="shared" ref="CC9:CC39" si="58">IF($E9=CC$8,1,0)</f>
        <v>0</v>
      </c>
      <c r="CD9" s="15">
        <f t="shared" ref="CD9:CD39" si="59">IF($J9=CC$8,1,0)</f>
        <v>0</v>
      </c>
      <c r="CE9" s="15">
        <f t="shared" ref="CE9:CQ39" si="60">IF($E9=CE$8,1,0)</f>
        <v>0</v>
      </c>
      <c r="CF9" s="15">
        <f t="shared" ref="CF9:CF39" si="61">IF($J9=CE$8,1,0)</f>
        <v>0</v>
      </c>
      <c r="CG9" s="15">
        <f t="shared" si="60"/>
        <v>0</v>
      </c>
      <c r="CH9" s="15">
        <f t="shared" ref="CH9:CH39" si="62">IF($J9=CG$8,1,0)</f>
        <v>0</v>
      </c>
      <c r="CI9" s="15">
        <f t="shared" si="60"/>
        <v>0</v>
      </c>
      <c r="CJ9" s="15">
        <f t="shared" ref="CJ9:CJ39" si="63">IF($J9=CI$8,1,0)</f>
        <v>0</v>
      </c>
      <c r="CK9" s="15">
        <f t="shared" si="60"/>
        <v>0</v>
      </c>
      <c r="CL9" s="15">
        <f t="shared" ref="CL9:CL39" si="64">IF($J9=CK$8,1,0)</f>
        <v>0</v>
      </c>
      <c r="CM9" s="15">
        <f t="shared" si="60"/>
        <v>0</v>
      </c>
      <c r="CN9" s="15">
        <f>IF($J9=CM$8,1,0)</f>
        <v>0</v>
      </c>
      <c r="CO9" s="15">
        <f t="shared" si="60"/>
        <v>0</v>
      </c>
      <c r="CP9" s="15">
        <f>IF($J9=CO$8,1,0)</f>
        <v>0</v>
      </c>
      <c r="CQ9" s="15">
        <f t="shared" si="60"/>
        <v>0</v>
      </c>
      <c r="CR9" s="15">
        <f>IF($J9=CQ$8,1,0)</f>
        <v>0</v>
      </c>
      <c r="CS9" s="14">
        <f>SUM(Q9:CR9)</f>
        <v>2</v>
      </c>
      <c r="CT9" s="2">
        <f>IFERROR((VLOOKUP(A9,'Quad-Tech'!$F$1:$G$17,2,FALSE)),0)</f>
        <v>0</v>
      </c>
    </row>
    <row r="10" spans="1:98" ht="20.25" customHeight="1">
      <c r="A10" s="91">
        <f>A9+1</f>
        <v>44987</v>
      </c>
      <c r="B10" s="92"/>
      <c r="C10" s="93"/>
      <c r="D10" s="41" t="str">
        <f>VLOOKUP(A10,'Quad-Tech'!A3:B367,2,FALSE)</f>
        <v>Thu</v>
      </c>
      <c r="E10" s="94" t="s">
        <v>177</v>
      </c>
      <c r="F10" s="95"/>
      <c r="G10" s="96"/>
      <c r="H10" s="74"/>
      <c r="I10" s="73"/>
      <c r="J10" s="94" t="s">
        <v>177</v>
      </c>
      <c r="K10" s="95"/>
      <c r="L10" s="95"/>
      <c r="M10" s="96"/>
      <c r="N10" s="33"/>
      <c r="O10" s="34"/>
      <c r="P10" s="32"/>
      <c r="Q10" s="16">
        <f t="shared" ref="Q10:Q39" si="65">IF($E10=Q$8,1,0)</f>
        <v>0</v>
      </c>
      <c r="R10" s="15">
        <f t="shared" ref="R10:R39" si="66">IF($J10=Q$8,1,0)</f>
        <v>0</v>
      </c>
      <c r="S10" s="15">
        <f t="shared" si="0"/>
        <v>0</v>
      </c>
      <c r="T10" s="15">
        <f t="shared" si="1"/>
        <v>0</v>
      </c>
      <c r="U10" s="15">
        <f t="shared" si="2"/>
        <v>0</v>
      </c>
      <c r="V10" s="15">
        <f t="shared" si="3"/>
        <v>0</v>
      </c>
      <c r="W10" s="15">
        <f t="shared" si="4"/>
        <v>0</v>
      </c>
      <c r="X10" s="15">
        <f t="shared" si="5"/>
        <v>0</v>
      </c>
      <c r="Y10" s="15">
        <f t="shared" si="4"/>
        <v>0</v>
      </c>
      <c r="Z10" s="15">
        <f t="shared" si="6"/>
        <v>0</v>
      </c>
      <c r="AA10" s="15">
        <f t="shared" si="4"/>
        <v>0</v>
      </c>
      <c r="AB10" s="15">
        <f t="shared" si="7"/>
        <v>0</v>
      </c>
      <c r="AC10" s="15">
        <f t="shared" si="4"/>
        <v>0</v>
      </c>
      <c r="AD10" s="15">
        <f t="shared" ref="AD10:AD39" si="67">IF($J10=AC$8,1,0)</f>
        <v>0</v>
      </c>
      <c r="AE10" s="15">
        <f t="shared" si="8"/>
        <v>0</v>
      </c>
      <c r="AF10" s="15">
        <f t="shared" si="9"/>
        <v>0</v>
      </c>
      <c r="AG10" s="15">
        <f t="shared" si="10"/>
        <v>0</v>
      </c>
      <c r="AH10" s="15">
        <f t="shared" si="11"/>
        <v>0</v>
      </c>
      <c r="AI10" s="15">
        <f t="shared" si="12"/>
        <v>0</v>
      </c>
      <c r="AJ10" s="15">
        <f t="shared" si="13"/>
        <v>0</v>
      </c>
      <c r="AK10" s="15">
        <f t="shared" si="14"/>
        <v>0</v>
      </c>
      <c r="AL10" s="15">
        <f t="shared" si="15"/>
        <v>0</v>
      </c>
      <c r="AM10" s="15">
        <f t="shared" si="16"/>
        <v>0</v>
      </c>
      <c r="AN10" s="15">
        <f t="shared" si="17"/>
        <v>0</v>
      </c>
      <c r="AO10" s="15">
        <f t="shared" si="18"/>
        <v>0</v>
      </c>
      <c r="AP10" s="15">
        <f t="shared" si="19"/>
        <v>0</v>
      </c>
      <c r="AQ10" s="15">
        <f t="shared" si="20"/>
        <v>0</v>
      </c>
      <c r="AR10" s="15">
        <f t="shared" si="21"/>
        <v>0</v>
      </c>
      <c r="AS10" s="15">
        <f t="shared" si="22"/>
        <v>1</v>
      </c>
      <c r="AT10" s="15">
        <f t="shared" si="23"/>
        <v>1</v>
      </c>
      <c r="AU10" s="15">
        <f t="shared" si="24"/>
        <v>0</v>
      </c>
      <c r="AV10" s="15">
        <f t="shared" si="25"/>
        <v>0</v>
      </c>
      <c r="AW10" s="15">
        <f t="shared" si="26"/>
        <v>0</v>
      </c>
      <c r="AX10" s="15">
        <f t="shared" si="27"/>
        <v>0</v>
      </c>
      <c r="AY10" s="15">
        <f t="shared" si="28"/>
        <v>0</v>
      </c>
      <c r="AZ10" s="15">
        <f t="shared" si="29"/>
        <v>0</v>
      </c>
      <c r="BA10" s="15">
        <f t="shared" si="30"/>
        <v>0</v>
      </c>
      <c r="BB10" s="15">
        <f t="shared" si="31"/>
        <v>0</v>
      </c>
      <c r="BC10" s="15">
        <f t="shared" si="32"/>
        <v>0</v>
      </c>
      <c r="BD10" s="15">
        <f t="shared" si="33"/>
        <v>0</v>
      </c>
      <c r="BE10" s="15">
        <f t="shared" si="34"/>
        <v>0</v>
      </c>
      <c r="BF10" s="15">
        <f t="shared" si="35"/>
        <v>0</v>
      </c>
      <c r="BG10" s="15">
        <f t="shared" si="36"/>
        <v>0</v>
      </c>
      <c r="BH10" s="15">
        <f t="shared" si="37"/>
        <v>0</v>
      </c>
      <c r="BI10" s="15">
        <f t="shared" si="38"/>
        <v>0</v>
      </c>
      <c r="BJ10" s="15">
        <f t="shared" si="39"/>
        <v>0</v>
      </c>
      <c r="BK10" s="15">
        <f t="shared" si="40"/>
        <v>0</v>
      </c>
      <c r="BL10" s="15">
        <f t="shared" si="41"/>
        <v>0</v>
      </c>
      <c r="BM10" s="15">
        <f t="shared" si="42"/>
        <v>0</v>
      </c>
      <c r="BN10" s="15">
        <f t="shared" si="43"/>
        <v>0</v>
      </c>
      <c r="BO10" s="15">
        <f t="shared" si="44"/>
        <v>0</v>
      </c>
      <c r="BP10" s="15">
        <f t="shared" si="45"/>
        <v>0</v>
      </c>
      <c r="BQ10" s="15">
        <f t="shared" si="46"/>
        <v>0</v>
      </c>
      <c r="BR10" s="15">
        <f t="shared" si="47"/>
        <v>0</v>
      </c>
      <c r="BS10" s="15">
        <f t="shared" si="48"/>
        <v>0</v>
      </c>
      <c r="BT10" s="15">
        <f t="shared" si="49"/>
        <v>0</v>
      </c>
      <c r="BU10" s="15">
        <f t="shared" si="50"/>
        <v>0</v>
      </c>
      <c r="BV10" s="15">
        <f t="shared" si="51"/>
        <v>0</v>
      </c>
      <c r="BW10" s="15">
        <f t="shared" si="52"/>
        <v>0</v>
      </c>
      <c r="BX10" s="15">
        <f t="shared" si="53"/>
        <v>0</v>
      </c>
      <c r="BY10" s="15">
        <f t="shared" si="54"/>
        <v>0</v>
      </c>
      <c r="BZ10" s="15">
        <f t="shared" si="55"/>
        <v>0</v>
      </c>
      <c r="CA10" s="15">
        <f t="shared" si="56"/>
        <v>0</v>
      </c>
      <c r="CB10" s="15">
        <f t="shared" si="57"/>
        <v>0</v>
      </c>
      <c r="CC10" s="15">
        <f t="shared" si="58"/>
        <v>0</v>
      </c>
      <c r="CD10" s="15">
        <f t="shared" si="59"/>
        <v>0</v>
      </c>
      <c r="CE10" s="15">
        <f t="shared" si="60"/>
        <v>0</v>
      </c>
      <c r="CF10" s="15">
        <f t="shared" si="61"/>
        <v>0</v>
      </c>
      <c r="CG10" s="15">
        <f t="shared" si="60"/>
        <v>0</v>
      </c>
      <c r="CH10" s="15">
        <f t="shared" si="62"/>
        <v>0</v>
      </c>
      <c r="CI10" s="15">
        <f t="shared" si="60"/>
        <v>0</v>
      </c>
      <c r="CJ10" s="15">
        <f t="shared" si="63"/>
        <v>0</v>
      </c>
      <c r="CK10" s="15">
        <f t="shared" si="60"/>
        <v>0</v>
      </c>
      <c r="CL10" s="15">
        <f t="shared" si="64"/>
        <v>0</v>
      </c>
      <c r="CM10" s="15">
        <f t="shared" si="60"/>
        <v>0</v>
      </c>
      <c r="CN10" s="15">
        <f t="shared" ref="CN10:CN39" si="68">IF($J10=CM$8,1,0)</f>
        <v>0</v>
      </c>
      <c r="CO10" s="15">
        <f t="shared" si="60"/>
        <v>0</v>
      </c>
      <c r="CP10" s="15">
        <f t="shared" ref="CP10:CP39" si="69">IF($J10=CO$8,1,0)</f>
        <v>0</v>
      </c>
      <c r="CQ10" s="15">
        <f t="shared" si="60"/>
        <v>0</v>
      </c>
      <c r="CR10" s="15">
        <f t="shared" ref="CR10:CR39" si="70">IF($J10=CQ$8,1,0)</f>
        <v>0</v>
      </c>
      <c r="CS10" s="2">
        <f t="shared" ref="CS10:CS39" si="71">(SUM(Q10:CL10))+(SUM(Q10:CR10))</f>
        <v>4</v>
      </c>
      <c r="CT10" s="2">
        <f>IFERROR((VLOOKUP(A10,'Quad-Tech'!$F$1:$G$17,2,FALSE)),0)</f>
        <v>0</v>
      </c>
    </row>
    <row r="11" spans="1:98" ht="20.25" customHeight="1">
      <c r="A11" s="91">
        <f t="shared" ref="A11:A36" si="72">A10+1</f>
        <v>44988</v>
      </c>
      <c r="B11" s="92"/>
      <c r="C11" s="93"/>
      <c r="D11" s="41" t="str">
        <f>VLOOKUP(A11,'Quad-Tech'!A4:B368,2,FALSE)</f>
        <v>Fri</v>
      </c>
      <c r="E11" s="94" t="s">
        <v>177</v>
      </c>
      <c r="F11" s="95"/>
      <c r="G11" s="96"/>
      <c r="H11" s="74"/>
      <c r="I11" s="73"/>
      <c r="J11" s="94" t="s">
        <v>177</v>
      </c>
      <c r="K11" s="95"/>
      <c r="L11" s="95"/>
      <c r="M11" s="96"/>
      <c r="N11" s="33"/>
      <c r="O11" s="34"/>
      <c r="P11" s="32"/>
      <c r="Q11" s="16">
        <f t="shared" si="65"/>
        <v>0</v>
      </c>
      <c r="R11" s="15">
        <f t="shared" si="66"/>
        <v>0</v>
      </c>
      <c r="S11" s="15">
        <f t="shared" si="0"/>
        <v>0</v>
      </c>
      <c r="T11" s="15">
        <f t="shared" si="1"/>
        <v>0</v>
      </c>
      <c r="U11" s="15">
        <f t="shared" si="2"/>
        <v>0</v>
      </c>
      <c r="V11" s="15">
        <f t="shared" si="3"/>
        <v>0</v>
      </c>
      <c r="W11" s="15">
        <f t="shared" si="4"/>
        <v>0</v>
      </c>
      <c r="X11" s="15">
        <f t="shared" si="5"/>
        <v>0</v>
      </c>
      <c r="Y11" s="15">
        <f t="shared" si="4"/>
        <v>0</v>
      </c>
      <c r="Z11" s="15">
        <f t="shared" si="6"/>
        <v>0</v>
      </c>
      <c r="AA11" s="15">
        <f t="shared" si="4"/>
        <v>0</v>
      </c>
      <c r="AB11" s="15">
        <f t="shared" si="7"/>
        <v>0</v>
      </c>
      <c r="AC11" s="15">
        <f t="shared" si="4"/>
        <v>0</v>
      </c>
      <c r="AD11" s="15">
        <f t="shared" si="67"/>
        <v>0</v>
      </c>
      <c r="AE11" s="15">
        <f t="shared" si="8"/>
        <v>0</v>
      </c>
      <c r="AF11" s="15">
        <f t="shared" si="9"/>
        <v>0</v>
      </c>
      <c r="AG11" s="15">
        <f t="shared" si="10"/>
        <v>0</v>
      </c>
      <c r="AH11" s="15">
        <f t="shared" si="11"/>
        <v>0</v>
      </c>
      <c r="AI11" s="15">
        <f t="shared" si="12"/>
        <v>0</v>
      </c>
      <c r="AJ11" s="15">
        <f t="shared" si="13"/>
        <v>0</v>
      </c>
      <c r="AK11" s="15">
        <f t="shared" si="14"/>
        <v>0</v>
      </c>
      <c r="AL11" s="15">
        <f t="shared" si="15"/>
        <v>0</v>
      </c>
      <c r="AM11" s="15">
        <f t="shared" si="16"/>
        <v>0</v>
      </c>
      <c r="AN11" s="15">
        <f t="shared" si="17"/>
        <v>0</v>
      </c>
      <c r="AO11" s="15">
        <f t="shared" si="18"/>
        <v>0</v>
      </c>
      <c r="AP11" s="15">
        <f t="shared" si="19"/>
        <v>0</v>
      </c>
      <c r="AQ11" s="15">
        <f t="shared" si="20"/>
        <v>0</v>
      </c>
      <c r="AR11" s="15">
        <f t="shared" si="21"/>
        <v>0</v>
      </c>
      <c r="AS11" s="15">
        <f t="shared" si="22"/>
        <v>1</v>
      </c>
      <c r="AT11" s="15">
        <f t="shared" si="23"/>
        <v>1</v>
      </c>
      <c r="AU11" s="15">
        <f t="shared" si="24"/>
        <v>0</v>
      </c>
      <c r="AV11" s="15">
        <f t="shared" si="25"/>
        <v>0</v>
      </c>
      <c r="AW11" s="15">
        <f t="shared" si="26"/>
        <v>0</v>
      </c>
      <c r="AX11" s="15">
        <f t="shared" si="27"/>
        <v>0</v>
      </c>
      <c r="AY11" s="15">
        <f t="shared" si="28"/>
        <v>0</v>
      </c>
      <c r="AZ11" s="15">
        <f t="shared" si="29"/>
        <v>0</v>
      </c>
      <c r="BA11" s="15">
        <f t="shared" si="30"/>
        <v>0</v>
      </c>
      <c r="BB11" s="15">
        <f t="shared" si="31"/>
        <v>0</v>
      </c>
      <c r="BC11" s="15">
        <f t="shared" si="32"/>
        <v>0</v>
      </c>
      <c r="BD11" s="15">
        <f t="shared" si="33"/>
        <v>0</v>
      </c>
      <c r="BE11" s="15">
        <f t="shared" si="34"/>
        <v>0</v>
      </c>
      <c r="BF11" s="15">
        <f t="shared" si="35"/>
        <v>0</v>
      </c>
      <c r="BG11" s="15">
        <f t="shared" si="36"/>
        <v>0</v>
      </c>
      <c r="BH11" s="15">
        <f t="shared" si="37"/>
        <v>0</v>
      </c>
      <c r="BI11" s="15">
        <f t="shared" si="38"/>
        <v>0</v>
      </c>
      <c r="BJ11" s="15">
        <f t="shared" si="39"/>
        <v>0</v>
      </c>
      <c r="BK11" s="15">
        <f t="shared" si="40"/>
        <v>0</v>
      </c>
      <c r="BL11" s="15">
        <f t="shared" si="41"/>
        <v>0</v>
      </c>
      <c r="BM11" s="15">
        <f t="shared" si="42"/>
        <v>0</v>
      </c>
      <c r="BN11" s="15">
        <f t="shared" si="43"/>
        <v>0</v>
      </c>
      <c r="BO11" s="15">
        <f t="shared" si="44"/>
        <v>0</v>
      </c>
      <c r="BP11" s="15">
        <f t="shared" si="45"/>
        <v>0</v>
      </c>
      <c r="BQ11" s="15">
        <f t="shared" si="46"/>
        <v>0</v>
      </c>
      <c r="BR11" s="15">
        <f t="shared" si="47"/>
        <v>0</v>
      </c>
      <c r="BS11" s="15">
        <f t="shared" si="48"/>
        <v>0</v>
      </c>
      <c r="BT11" s="15">
        <f t="shared" si="49"/>
        <v>0</v>
      </c>
      <c r="BU11" s="15">
        <f t="shared" si="50"/>
        <v>0</v>
      </c>
      <c r="BV11" s="15">
        <f t="shared" si="51"/>
        <v>0</v>
      </c>
      <c r="BW11" s="15">
        <f t="shared" si="52"/>
        <v>0</v>
      </c>
      <c r="BX11" s="15">
        <f t="shared" si="53"/>
        <v>0</v>
      </c>
      <c r="BY11" s="15">
        <f t="shared" si="54"/>
        <v>0</v>
      </c>
      <c r="BZ11" s="15">
        <f t="shared" si="55"/>
        <v>0</v>
      </c>
      <c r="CA11" s="15">
        <f t="shared" si="56"/>
        <v>0</v>
      </c>
      <c r="CB11" s="15">
        <f t="shared" si="57"/>
        <v>0</v>
      </c>
      <c r="CC11" s="15">
        <f t="shared" si="58"/>
        <v>0</v>
      </c>
      <c r="CD11" s="15">
        <f t="shared" si="59"/>
        <v>0</v>
      </c>
      <c r="CE11" s="15">
        <f t="shared" si="60"/>
        <v>0</v>
      </c>
      <c r="CF11" s="15">
        <f t="shared" si="61"/>
        <v>0</v>
      </c>
      <c r="CG11" s="15">
        <f t="shared" si="60"/>
        <v>0</v>
      </c>
      <c r="CH11" s="15">
        <f t="shared" si="62"/>
        <v>0</v>
      </c>
      <c r="CI11" s="15">
        <f t="shared" si="60"/>
        <v>0</v>
      </c>
      <c r="CJ11" s="15">
        <f t="shared" si="63"/>
        <v>0</v>
      </c>
      <c r="CK11" s="15">
        <f t="shared" si="60"/>
        <v>0</v>
      </c>
      <c r="CL11" s="15">
        <f t="shared" si="64"/>
        <v>0</v>
      </c>
      <c r="CM11" s="15">
        <f t="shared" si="60"/>
        <v>0</v>
      </c>
      <c r="CN11" s="15">
        <f t="shared" si="68"/>
        <v>0</v>
      </c>
      <c r="CO11" s="15">
        <f t="shared" si="60"/>
        <v>0</v>
      </c>
      <c r="CP11" s="15">
        <f t="shared" si="69"/>
        <v>0</v>
      </c>
      <c r="CQ11" s="15">
        <f t="shared" si="60"/>
        <v>0</v>
      </c>
      <c r="CR11" s="15">
        <f t="shared" si="70"/>
        <v>0</v>
      </c>
      <c r="CS11" s="2">
        <f t="shared" si="71"/>
        <v>4</v>
      </c>
      <c r="CT11" s="2">
        <f>IFERROR((VLOOKUP(A11,'Quad-Tech'!$F$1:$G$17,2,FALSE)),0)</f>
        <v>0</v>
      </c>
    </row>
    <row r="12" spans="1:98" ht="20.25" customHeight="1">
      <c r="A12" s="91">
        <f t="shared" si="72"/>
        <v>44989</v>
      </c>
      <c r="B12" s="92"/>
      <c r="C12" s="93"/>
      <c r="D12" s="41" t="str">
        <f>VLOOKUP(A12,'Quad-Tech'!A5:B369,2,FALSE)</f>
        <v>Sat</v>
      </c>
      <c r="E12" s="94" t="s">
        <v>157</v>
      </c>
      <c r="F12" s="95"/>
      <c r="G12" s="96"/>
      <c r="H12" s="74"/>
      <c r="I12" s="73"/>
      <c r="J12" s="94" t="s">
        <v>13</v>
      </c>
      <c r="K12" s="95"/>
      <c r="L12" s="95"/>
      <c r="M12" s="96"/>
      <c r="N12" s="33"/>
      <c r="O12" s="34"/>
      <c r="P12" s="32"/>
      <c r="Q12" s="16">
        <f t="shared" si="65"/>
        <v>0</v>
      </c>
      <c r="R12" s="15">
        <f t="shared" si="66"/>
        <v>0</v>
      </c>
      <c r="S12" s="15">
        <f t="shared" si="0"/>
        <v>0</v>
      </c>
      <c r="T12" s="15">
        <f t="shared" si="1"/>
        <v>0</v>
      </c>
      <c r="U12" s="15">
        <f t="shared" si="2"/>
        <v>0</v>
      </c>
      <c r="V12" s="15">
        <f t="shared" si="3"/>
        <v>0</v>
      </c>
      <c r="W12" s="15">
        <f t="shared" si="4"/>
        <v>0</v>
      </c>
      <c r="X12" s="15">
        <f t="shared" si="5"/>
        <v>0</v>
      </c>
      <c r="Y12" s="15">
        <f t="shared" si="4"/>
        <v>0</v>
      </c>
      <c r="Z12" s="15">
        <f t="shared" si="6"/>
        <v>0</v>
      </c>
      <c r="AA12" s="15">
        <f t="shared" si="4"/>
        <v>0</v>
      </c>
      <c r="AB12" s="15">
        <f t="shared" si="7"/>
        <v>1</v>
      </c>
      <c r="AC12" s="15">
        <f t="shared" si="4"/>
        <v>0</v>
      </c>
      <c r="AD12" s="15">
        <f t="shared" si="67"/>
        <v>0</v>
      </c>
      <c r="AE12" s="15">
        <f t="shared" si="8"/>
        <v>0</v>
      </c>
      <c r="AF12" s="15">
        <f t="shared" si="9"/>
        <v>0</v>
      </c>
      <c r="AG12" s="15">
        <f t="shared" si="10"/>
        <v>1</v>
      </c>
      <c r="AH12" s="15">
        <f t="shared" si="11"/>
        <v>0</v>
      </c>
      <c r="AI12" s="15">
        <f t="shared" si="12"/>
        <v>0</v>
      </c>
      <c r="AJ12" s="15">
        <f t="shared" si="13"/>
        <v>0</v>
      </c>
      <c r="AK12" s="15">
        <f t="shared" si="14"/>
        <v>0</v>
      </c>
      <c r="AL12" s="15">
        <f t="shared" si="15"/>
        <v>0</v>
      </c>
      <c r="AM12" s="15">
        <f t="shared" si="16"/>
        <v>0</v>
      </c>
      <c r="AN12" s="15">
        <f t="shared" si="17"/>
        <v>0</v>
      </c>
      <c r="AO12" s="15">
        <f t="shared" si="18"/>
        <v>0</v>
      </c>
      <c r="AP12" s="15">
        <f t="shared" si="19"/>
        <v>0</v>
      </c>
      <c r="AQ12" s="15">
        <f t="shared" si="20"/>
        <v>0</v>
      </c>
      <c r="AR12" s="15">
        <f t="shared" si="21"/>
        <v>0</v>
      </c>
      <c r="AS12" s="15">
        <f t="shared" si="22"/>
        <v>0</v>
      </c>
      <c r="AT12" s="15">
        <f t="shared" si="23"/>
        <v>0</v>
      </c>
      <c r="AU12" s="15">
        <f t="shared" si="24"/>
        <v>0</v>
      </c>
      <c r="AV12" s="15">
        <f t="shared" si="25"/>
        <v>0</v>
      </c>
      <c r="AW12" s="15">
        <f t="shared" si="26"/>
        <v>0</v>
      </c>
      <c r="AX12" s="15">
        <f t="shared" si="27"/>
        <v>0</v>
      </c>
      <c r="AY12" s="15">
        <f t="shared" si="28"/>
        <v>0</v>
      </c>
      <c r="AZ12" s="15">
        <f t="shared" si="29"/>
        <v>0</v>
      </c>
      <c r="BA12" s="15">
        <f t="shared" si="30"/>
        <v>0</v>
      </c>
      <c r="BB12" s="15">
        <f t="shared" si="31"/>
        <v>0</v>
      </c>
      <c r="BC12" s="15">
        <f t="shared" si="32"/>
        <v>0</v>
      </c>
      <c r="BD12" s="15">
        <f t="shared" si="33"/>
        <v>0</v>
      </c>
      <c r="BE12" s="15">
        <f t="shared" si="34"/>
        <v>0</v>
      </c>
      <c r="BF12" s="15">
        <f t="shared" si="35"/>
        <v>0</v>
      </c>
      <c r="BG12" s="15">
        <f t="shared" si="36"/>
        <v>0</v>
      </c>
      <c r="BH12" s="15">
        <f t="shared" si="37"/>
        <v>0</v>
      </c>
      <c r="BI12" s="15">
        <f t="shared" si="38"/>
        <v>0</v>
      </c>
      <c r="BJ12" s="15">
        <f t="shared" si="39"/>
        <v>0</v>
      </c>
      <c r="BK12" s="15">
        <f t="shared" si="40"/>
        <v>0</v>
      </c>
      <c r="BL12" s="15">
        <f t="shared" si="41"/>
        <v>0</v>
      </c>
      <c r="BM12" s="15">
        <f t="shared" si="42"/>
        <v>0</v>
      </c>
      <c r="BN12" s="15">
        <f t="shared" si="43"/>
        <v>0</v>
      </c>
      <c r="BO12" s="15">
        <f t="shared" si="44"/>
        <v>0</v>
      </c>
      <c r="BP12" s="15">
        <f t="shared" si="45"/>
        <v>0</v>
      </c>
      <c r="BQ12" s="15">
        <f t="shared" si="46"/>
        <v>0</v>
      </c>
      <c r="BR12" s="15">
        <f t="shared" si="47"/>
        <v>0</v>
      </c>
      <c r="BS12" s="15">
        <f t="shared" si="48"/>
        <v>0</v>
      </c>
      <c r="BT12" s="15">
        <f t="shared" si="49"/>
        <v>0</v>
      </c>
      <c r="BU12" s="15">
        <f t="shared" si="50"/>
        <v>0</v>
      </c>
      <c r="BV12" s="15">
        <f t="shared" si="51"/>
        <v>0</v>
      </c>
      <c r="BW12" s="15">
        <f t="shared" si="52"/>
        <v>0</v>
      </c>
      <c r="BX12" s="15">
        <f t="shared" si="53"/>
        <v>0</v>
      </c>
      <c r="BY12" s="15">
        <f t="shared" si="54"/>
        <v>0</v>
      </c>
      <c r="BZ12" s="15">
        <f t="shared" si="55"/>
        <v>0</v>
      </c>
      <c r="CA12" s="15">
        <f t="shared" si="56"/>
        <v>0</v>
      </c>
      <c r="CB12" s="15">
        <f t="shared" si="57"/>
        <v>0</v>
      </c>
      <c r="CC12" s="15">
        <f t="shared" si="58"/>
        <v>0</v>
      </c>
      <c r="CD12" s="15">
        <f t="shared" si="59"/>
        <v>0</v>
      </c>
      <c r="CE12" s="15">
        <f t="shared" si="60"/>
        <v>0</v>
      </c>
      <c r="CF12" s="15">
        <f t="shared" si="61"/>
        <v>0</v>
      </c>
      <c r="CG12" s="15">
        <f t="shared" si="60"/>
        <v>0</v>
      </c>
      <c r="CH12" s="15">
        <f t="shared" si="62"/>
        <v>0</v>
      </c>
      <c r="CI12" s="15">
        <f t="shared" si="60"/>
        <v>0</v>
      </c>
      <c r="CJ12" s="15">
        <f t="shared" si="63"/>
        <v>0</v>
      </c>
      <c r="CK12" s="15">
        <f t="shared" si="60"/>
        <v>0</v>
      </c>
      <c r="CL12" s="15">
        <f t="shared" si="64"/>
        <v>0</v>
      </c>
      <c r="CM12" s="15">
        <f t="shared" si="60"/>
        <v>0</v>
      </c>
      <c r="CN12" s="15">
        <f t="shared" si="68"/>
        <v>0</v>
      </c>
      <c r="CO12" s="15">
        <f t="shared" si="60"/>
        <v>0</v>
      </c>
      <c r="CP12" s="15">
        <f t="shared" si="69"/>
        <v>0</v>
      </c>
      <c r="CQ12" s="15">
        <f t="shared" si="60"/>
        <v>0</v>
      </c>
      <c r="CR12" s="15">
        <f t="shared" si="70"/>
        <v>0</v>
      </c>
      <c r="CS12" s="2">
        <f t="shared" si="71"/>
        <v>4</v>
      </c>
      <c r="CT12" s="2">
        <f>IFERROR((VLOOKUP(A12,'Quad-Tech'!$F$1:$G$17,2,FALSE)),0)</f>
        <v>0</v>
      </c>
    </row>
    <row r="13" spans="1:98" ht="20.25" customHeight="1">
      <c r="A13" s="91">
        <f t="shared" si="72"/>
        <v>44990</v>
      </c>
      <c r="B13" s="92"/>
      <c r="C13" s="93"/>
      <c r="D13" s="41" t="str">
        <f>VLOOKUP(A13,'Quad-Tech'!A6:B370,2,FALSE)</f>
        <v>Sun</v>
      </c>
      <c r="E13" s="94" t="s">
        <v>14</v>
      </c>
      <c r="F13" s="95"/>
      <c r="G13" s="96"/>
      <c r="H13" s="74"/>
      <c r="I13" s="73"/>
      <c r="J13" s="94" t="s">
        <v>14</v>
      </c>
      <c r="K13" s="95"/>
      <c r="L13" s="95"/>
      <c r="M13" s="96"/>
      <c r="N13" s="33"/>
      <c r="O13" s="34"/>
      <c r="P13" s="32"/>
      <c r="Q13" s="16">
        <f t="shared" si="65"/>
        <v>0</v>
      </c>
      <c r="R13" s="15">
        <f t="shared" si="66"/>
        <v>0</v>
      </c>
      <c r="S13" s="15">
        <f t="shared" si="0"/>
        <v>1</v>
      </c>
      <c r="T13" s="15">
        <f t="shared" si="1"/>
        <v>1</v>
      </c>
      <c r="U13" s="15">
        <f t="shared" si="2"/>
        <v>0</v>
      </c>
      <c r="V13" s="15">
        <f t="shared" si="3"/>
        <v>0</v>
      </c>
      <c r="W13" s="15">
        <f t="shared" si="4"/>
        <v>0</v>
      </c>
      <c r="X13" s="15">
        <f t="shared" si="5"/>
        <v>0</v>
      </c>
      <c r="Y13" s="15">
        <f t="shared" si="4"/>
        <v>0</v>
      </c>
      <c r="Z13" s="15">
        <f t="shared" si="6"/>
        <v>0</v>
      </c>
      <c r="AA13" s="15">
        <f t="shared" si="4"/>
        <v>0</v>
      </c>
      <c r="AB13" s="15">
        <f t="shared" si="7"/>
        <v>0</v>
      </c>
      <c r="AC13" s="15">
        <f t="shared" si="4"/>
        <v>0</v>
      </c>
      <c r="AD13" s="15">
        <f t="shared" si="67"/>
        <v>0</v>
      </c>
      <c r="AE13" s="15">
        <f t="shared" si="8"/>
        <v>0</v>
      </c>
      <c r="AF13" s="15">
        <f t="shared" si="9"/>
        <v>0</v>
      </c>
      <c r="AG13" s="15">
        <f t="shared" si="10"/>
        <v>0</v>
      </c>
      <c r="AH13" s="15">
        <f t="shared" si="11"/>
        <v>0</v>
      </c>
      <c r="AI13" s="15">
        <f t="shared" si="12"/>
        <v>0</v>
      </c>
      <c r="AJ13" s="15">
        <f t="shared" si="13"/>
        <v>0</v>
      </c>
      <c r="AK13" s="15">
        <f t="shared" si="14"/>
        <v>0</v>
      </c>
      <c r="AL13" s="15">
        <f t="shared" si="15"/>
        <v>0</v>
      </c>
      <c r="AM13" s="15">
        <f t="shared" si="16"/>
        <v>0</v>
      </c>
      <c r="AN13" s="15">
        <f t="shared" si="17"/>
        <v>0</v>
      </c>
      <c r="AO13" s="15">
        <f t="shared" si="18"/>
        <v>0</v>
      </c>
      <c r="AP13" s="15">
        <f t="shared" si="19"/>
        <v>0</v>
      </c>
      <c r="AQ13" s="15">
        <f t="shared" si="20"/>
        <v>0</v>
      </c>
      <c r="AR13" s="15">
        <f t="shared" si="21"/>
        <v>0</v>
      </c>
      <c r="AS13" s="15">
        <f t="shared" si="22"/>
        <v>0</v>
      </c>
      <c r="AT13" s="15">
        <f t="shared" si="23"/>
        <v>0</v>
      </c>
      <c r="AU13" s="15">
        <f t="shared" si="24"/>
        <v>0</v>
      </c>
      <c r="AV13" s="15">
        <f t="shared" si="25"/>
        <v>0</v>
      </c>
      <c r="AW13" s="15">
        <f t="shared" si="26"/>
        <v>0</v>
      </c>
      <c r="AX13" s="15">
        <f t="shared" si="27"/>
        <v>0</v>
      </c>
      <c r="AY13" s="15">
        <f t="shared" si="28"/>
        <v>0</v>
      </c>
      <c r="AZ13" s="15">
        <f t="shared" si="29"/>
        <v>0</v>
      </c>
      <c r="BA13" s="15">
        <f t="shared" si="30"/>
        <v>0</v>
      </c>
      <c r="BB13" s="15">
        <f t="shared" si="31"/>
        <v>0</v>
      </c>
      <c r="BC13" s="15">
        <f t="shared" si="32"/>
        <v>0</v>
      </c>
      <c r="BD13" s="15">
        <f t="shared" si="33"/>
        <v>0</v>
      </c>
      <c r="BE13" s="15">
        <f t="shared" si="34"/>
        <v>0</v>
      </c>
      <c r="BF13" s="15">
        <f t="shared" si="35"/>
        <v>0</v>
      </c>
      <c r="BG13" s="15">
        <f t="shared" si="36"/>
        <v>0</v>
      </c>
      <c r="BH13" s="15">
        <f t="shared" si="37"/>
        <v>0</v>
      </c>
      <c r="BI13" s="15">
        <f t="shared" si="38"/>
        <v>0</v>
      </c>
      <c r="BJ13" s="15">
        <f t="shared" si="39"/>
        <v>0</v>
      </c>
      <c r="BK13" s="15">
        <f t="shared" si="40"/>
        <v>0</v>
      </c>
      <c r="BL13" s="15">
        <f t="shared" si="41"/>
        <v>0</v>
      </c>
      <c r="BM13" s="15">
        <f t="shared" si="42"/>
        <v>0</v>
      </c>
      <c r="BN13" s="15">
        <f t="shared" si="43"/>
        <v>0</v>
      </c>
      <c r="BO13" s="15">
        <f t="shared" si="44"/>
        <v>0</v>
      </c>
      <c r="BP13" s="15">
        <f t="shared" si="45"/>
        <v>0</v>
      </c>
      <c r="BQ13" s="15">
        <f t="shared" si="46"/>
        <v>0</v>
      </c>
      <c r="BR13" s="15">
        <f t="shared" si="47"/>
        <v>0</v>
      </c>
      <c r="BS13" s="15">
        <f t="shared" si="48"/>
        <v>0</v>
      </c>
      <c r="BT13" s="15">
        <f t="shared" si="49"/>
        <v>0</v>
      </c>
      <c r="BU13" s="15">
        <f t="shared" si="50"/>
        <v>0</v>
      </c>
      <c r="BV13" s="15">
        <f t="shared" si="51"/>
        <v>0</v>
      </c>
      <c r="BW13" s="15">
        <f t="shared" si="52"/>
        <v>0</v>
      </c>
      <c r="BX13" s="15">
        <f t="shared" si="53"/>
        <v>0</v>
      </c>
      <c r="BY13" s="15">
        <f t="shared" si="54"/>
        <v>0</v>
      </c>
      <c r="BZ13" s="15">
        <f t="shared" si="55"/>
        <v>0</v>
      </c>
      <c r="CA13" s="15">
        <f t="shared" si="56"/>
        <v>0</v>
      </c>
      <c r="CB13" s="15">
        <f t="shared" si="57"/>
        <v>0</v>
      </c>
      <c r="CC13" s="15">
        <f t="shared" si="58"/>
        <v>0</v>
      </c>
      <c r="CD13" s="15">
        <f t="shared" si="59"/>
        <v>0</v>
      </c>
      <c r="CE13" s="15">
        <f t="shared" si="60"/>
        <v>0</v>
      </c>
      <c r="CF13" s="15">
        <f t="shared" si="61"/>
        <v>0</v>
      </c>
      <c r="CG13" s="15">
        <f t="shared" si="60"/>
        <v>0</v>
      </c>
      <c r="CH13" s="15">
        <f t="shared" si="62"/>
        <v>0</v>
      </c>
      <c r="CI13" s="15">
        <f t="shared" si="60"/>
        <v>0</v>
      </c>
      <c r="CJ13" s="15">
        <f t="shared" si="63"/>
        <v>0</v>
      </c>
      <c r="CK13" s="15">
        <f t="shared" si="60"/>
        <v>0</v>
      </c>
      <c r="CL13" s="15">
        <f t="shared" si="64"/>
        <v>0</v>
      </c>
      <c r="CM13" s="15">
        <f t="shared" si="60"/>
        <v>0</v>
      </c>
      <c r="CN13" s="15">
        <f t="shared" si="68"/>
        <v>0</v>
      </c>
      <c r="CO13" s="15">
        <f t="shared" si="60"/>
        <v>0</v>
      </c>
      <c r="CP13" s="15">
        <f t="shared" si="69"/>
        <v>0</v>
      </c>
      <c r="CQ13" s="15">
        <f t="shared" si="60"/>
        <v>0</v>
      </c>
      <c r="CR13" s="15">
        <f t="shared" si="70"/>
        <v>0</v>
      </c>
      <c r="CS13" s="2">
        <f t="shared" si="71"/>
        <v>4</v>
      </c>
      <c r="CT13" s="2">
        <f>IFERROR((VLOOKUP(A13,'Quad-Tech'!$F$1:$G$17,2,FALSE)),0)</f>
        <v>0</v>
      </c>
    </row>
    <row r="14" spans="1:98" ht="20.25" customHeight="1">
      <c r="A14" s="91">
        <f t="shared" si="72"/>
        <v>44991</v>
      </c>
      <c r="B14" s="92"/>
      <c r="C14" s="93"/>
      <c r="D14" s="41" t="str">
        <f>VLOOKUP(A14,'Quad-Tech'!A7:B371,2,FALSE)</f>
        <v>Mon</v>
      </c>
      <c r="E14" s="94" t="s">
        <v>177</v>
      </c>
      <c r="F14" s="95"/>
      <c r="G14" s="96"/>
      <c r="H14" s="74"/>
      <c r="I14" s="73"/>
      <c r="J14" s="94" t="s">
        <v>177</v>
      </c>
      <c r="K14" s="95"/>
      <c r="L14" s="95"/>
      <c r="M14" s="96"/>
      <c r="N14" s="33"/>
      <c r="O14" s="34"/>
      <c r="P14" s="32"/>
      <c r="Q14" s="16">
        <f t="shared" si="65"/>
        <v>0</v>
      </c>
      <c r="R14" s="15">
        <f t="shared" si="66"/>
        <v>0</v>
      </c>
      <c r="S14" s="15">
        <f t="shared" si="0"/>
        <v>0</v>
      </c>
      <c r="T14" s="15">
        <f t="shared" si="1"/>
        <v>0</v>
      </c>
      <c r="U14" s="15">
        <f t="shared" si="2"/>
        <v>0</v>
      </c>
      <c r="V14" s="15">
        <f t="shared" si="3"/>
        <v>0</v>
      </c>
      <c r="W14" s="15">
        <f t="shared" si="4"/>
        <v>0</v>
      </c>
      <c r="X14" s="15">
        <f t="shared" si="5"/>
        <v>0</v>
      </c>
      <c r="Y14" s="15">
        <f t="shared" si="4"/>
        <v>0</v>
      </c>
      <c r="Z14" s="15">
        <f t="shared" si="6"/>
        <v>0</v>
      </c>
      <c r="AA14" s="15">
        <f t="shared" si="4"/>
        <v>0</v>
      </c>
      <c r="AB14" s="15">
        <f t="shared" si="7"/>
        <v>0</v>
      </c>
      <c r="AC14" s="15">
        <f t="shared" si="4"/>
        <v>0</v>
      </c>
      <c r="AD14" s="15">
        <f t="shared" si="67"/>
        <v>0</v>
      </c>
      <c r="AE14" s="15">
        <f t="shared" si="8"/>
        <v>0</v>
      </c>
      <c r="AF14" s="15">
        <f t="shared" si="9"/>
        <v>0</v>
      </c>
      <c r="AG14" s="15">
        <f t="shared" si="10"/>
        <v>0</v>
      </c>
      <c r="AH14" s="15">
        <f t="shared" si="11"/>
        <v>0</v>
      </c>
      <c r="AI14" s="15">
        <f t="shared" si="12"/>
        <v>0</v>
      </c>
      <c r="AJ14" s="15">
        <f t="shared" si="13"/>
        <v>0</v>
      </c>
      <c r="AK14" s="15">
        <f t="shared" si="14"/>
        <v>0</v>
      </c>
      <c r="AL14" s="15">
        <f t="shared" si="15"/>
        <v>0</v>
      </c>
      <c r="AM14" s="15">
        <f t="shared" si="16"/>
        <v>0</v>
      </c>
      <c r="AN14" s="15">
        <f t="shared" si="17"/>
        <v>0</v>
      </c>
      <c r="AO14" s="15">
        <f t="shared" si="18"/>
        <v>0</v>
      </c>
      <c r="AP14" s="15">
        <f t="shared" si="19"/>
        <v>0</v>
      </c>
      <c r="AQ14" s="15">
        <f t="shared" si="20"/>
        <v>0</v>
      </c>
      <c r="AR14" s="15">
        <f t="shared" si="21"/>
        <v>0</v>
      </c>
      <c r="AS14" s="15">
        <f t="shared" si="22"/>
        <v>1</v>
      </c>
      <c r="AT14" s="15">
        <f t="shared" si="23"/>
        <v>1</v>
      </c>
      <c r="AU14" s="15">
        <f t="shared" si="24"/>
        <v>0</v>
      </c>
      <c r="AV14" s="15">
        <f t="shared" si="25"/>
        <v>0</v>
      </c>
      <c r="AW14" s="15">
        <f t="shared" si="26"/>
        <v>0</v>
      </c>
      <c r="AX14" s="15">
        <f t="shared" si="27"/>
        <v>0</v>
      </c>
      <c r="AY14" s="15">
        <f t="shared" si="28"/>
        <v>0</v>
      </c>
      <c r="AZ14" s="15">
        <f t="shared" si="29"/>
        <v>0</v>
      </c>
      <c r="BA14" s="15">
        <f t="shared" si="30"/>
        <v>0</v>
      </c>
      <c r="BB14" s="15">
        <f t="shared" si="31"/>
        <v>0</v>
      </c>
      <c r="BC14" s="15">
        <f t="shared" si="32"/>
        <v>0</v>
      </c>
      <c r="BD14" s="15">
        <f t="shared" si="33"/>
        <v>0</v>
      </c>
      <c r="BE14" s="15">
        <f t="shared" si="34"/>
        <v>0</v>
      </c>
      <c r="BF14" s="15">
        <f t="shared" si="35"/>
        <v>0</v>
      </c>
      <c r="BG14" s="15">
        <f t="shared" si="36"/>
        <v>0</v>
      </c>
      <c r="BH14" s="15">
        <f t="shared" si="37"/>
        <v>0</v>
      </c>
      <c r="BI14" s="15">
        <f t="shared" si="38"/>
        <v>0</v>
      </c>
      <c r="BJ14" s="15">
        <f t="shared" si="39"/>
        <v>0</v>
      </c>
      <c r="BK14" s="15">
        <f t="shared" si="40"/>
        <v>0</v>
      </c>
      <c r="BL14" s="15">
        <f t="shared" si="41"/>
        <v>0</v>
      </c>
      <c r="BM14" s="15">
        <f t="shared" si="42"/>
        <v>0</v>
      </c>
      <c r="BN14" s="15">
        <f t="shared" si="43"/>
        <v>0</v>
      </c>
      <c r="BO14" s="15">
        <f t="shared" si="44"/>
        <v>0</v>
      </c>
      <c r="BP14" s="15">
        <f t="shared" si="45"/>
        <v>0</v>
      </c>
      <c r="BQ14" s="15">
        <f t="shared" si="46"/>
        <v>0</v>
      </c>
      <c r="BR14" s="15">
        <f t="shared" si="47"/>
        <v>0</v>
      </c>
      <c r="BS14" s="15">
        <f t="shared" si="48"/>
        <v>0</v>
      </c>
      <c r="BT14" s="15">
        <f t="shared" si="49"/>
        <v>0</v>
      </c>
      <c r="BU14" s="15">
        <f t="shared" si="50"/>
        <v>0</v>
      </c>
      <c r="BV14" s="15">
        <f t="shared" si="51"/>
        <v>0</v>
      </c>
      <c r="BW14" s="15">
        <f t="shared" si="52"/>
        <v>0</v>
      </c>
      <c r="BX14" s="15">
        <f t="shared" si="53"/>
        <v>0</v>
      </c>
      <c r="BY14" s="15">
        <f t="shared" si="54"/>
        <v>0</v>
      </c>
      <c r="BZ14" s="15">
        <f t="shared" si="55"/>
        <v>0</v>
      </c>
      <c r="CA14" s="15">
        <f t="shared" si="56"/>
        <v>0</v>
      </c>
      <c r="CB14" s="15">
        <f t="shared" si="57"/>
        <v>0</v>
      </c>
      <c r="CC14" s="15">
        <f t="shared" si="58"/>
        <v>0</v>
      </c>
      <c r="CD14" s="15">
        <f t="shared" si="59"/>
        <v>0</v>
      </c>
      <c r="CE14" s="15">
        <f t="shared" si="60"/>
        <v>0</v>
      </c>
      <c r="CF14" s="15">
        <f t="shared" si="61"/>
        <v>0</v>
      </c>
      <c r="CG14" s="15">
        <f t="shared" si="60"/>
        <v>0</v>
      </c>
      <c r="CH14" s="15">
        <f t="shared" si="62"/>
        <v>0</v>
      </c>
      <c r="CI14" s="15">
        <f t="shared" si="60"/>
        <v>0</v>
      </c>
      <c r="CJ14" s="15">
        <f t="shared" si="63"/>
        <v>0</v>
      </c>
      <c r="CK14" s="15">
        <f t="shared" si="60"/>
        <v>0</v>
      </c>
      <c r="CL14" s="15">
        <f t="shared" si="64"/>
        <v>0</v>
      </c>
      <c r="CM14" s="15">
        <f t="shared" si="60"/>
        <v>0</v>
      </c>
      <c r="CN14" s="15">
        <f t="shared" si="68"/>
        <v>0</v>
      </c>
      <c r="CO14" s="15">
        <f t="shared" si="60"/>
        <v>0</v>
      </c>
      <c r="CP14" s="15">
        <f t="shared" si="69"/>
        <v>0</v>
      </c>
      <c r="CQ14" s="15">
        <f t="shared" si="60"/>
        <v>0</v>
      </c>
      <c r="CR14" s="15">
        <f t="shared" si="70"/>
        <v>0</v>
      </c>
      <c r="CS14" s="2">
        <f t="shared" si="71"/>
        <v>4</v>
      </c>
      <c r="CT14" s="2">
        <f>IFERROR((VLOOKUP(A14,'Quad-Tech'!$F$1:$G$17,2,FALSE)),0)</f>
        <v>0</v>
      </c>
    </row>
    <row r="15" spans="1:98" ht="20.25" customHeight="1">
      <c r="A15" s="91">
        <f t="shared" si="72"/>
        <v>44992</v>
      </c>
      <c r="B15" s="92"/>
      <c r="C15" s="93"/>
      <c r="D15" s="41" t="str">
        <f>VLOOKUP(A15,'Quad-Tech'!A8:B372,2,FALSE)</f>
        <v>Tue</v>
      </c>
      <c r="E15" s="94" t="s">
        <v>174</v>
      </c>
      <c r="F15" s="95"/>
      <c r="G15" s="96"/>
      <c r="H15" s="74"/>
      <c r="I15" s="73"/>
      <c r="J15" s="94" t="s">
        <v>174</v>
      </c>
      <c r="K15" s="95"/>
      <c r="L15" s="95"/>
      <c r="M15" s="96"/>
      <c r="N15" s="33"/>
      <c r="O15" s="34"/>
      <c r="P15" s="32"/>
      <c r="Q15" s="16">
        <f t="shared" si="65"/>
        <v>0</v>
      </c>
      <c r="R15" s="15">
        <f t="shared" si="66"/>
        <v>0</v>
      </c>
      <c r="S15" s="15">
        <f t="shared" si="0"/>
        <v>0</v>
      </c>
      <c r="T15" s="15">
        <f t="shared" si="1"/>
        <v>0</v>
      </c>
      <c r="U15" s="15">
        <f t="shared" si="2"/>
        <v>0</v>
      </c>
      <c r="V15" s="15">
        <f t="shared" si="3"/>
        <v>0</v>
      </c>
      <c r="W15" s="15">
        <f t="shared" si="4"/>
        <v>0</v>
      </c>
      <c r="X15" s="15">
        <f t="shared" si="5"/>
        <v>0</v>
      </c>
      <c r="Y15" s="15">
        <f t="shared" si="4"/>
        <v>0</v>
      </c>
      <c r="Z15" s="15">
        <f t="shared" si="6"/>
        <v>0</v>
      </c>
      <c r="AA15" s="15">
        <f t="shared" si="4"/>
        <v>0</v>
      </c>
      <c r="AB15" s="15">
        <f t="shared" si="7"/>
        <v>0</v>
      </c>
      <c r="AC15" s="15">
        <f t="shared" si="4"/>
        <v>0</v>
      </c>
      <c r="AD15" s="15">
        <f t="shared" si="67"/>
        <v>0</v>
      </c>
      <c r="AE15" s="15">
        <f t="shared" si="8"/>
        <v>0</v>
      </c>
      <c r="AF15" s="15">
        <f t="shared" si="9"/>
        <v>0</v>
      </c>
      <c r="AG15" s="15">
        <f t="shared" si="10"/>
        <v>0</v>
      </c>
      <c r="AH15" s="15">
        <f t="shared" si="11"/>
        <v>0</v>
      </c>
      <c r="AI15" s="15">
        <f t="shared" si="12"/>
        <v>0</v>
      </c>
      <c r="AJ15" s="15">
        <f t="shared" si="13"/>
        <v>0</v>
      </c>
      <c r="AK15" s="15">
        <f t="shared" si="14"/>
        <v>0</v>
      </c>
      <c r="AL15" s="15">
        <f t="shared" si="15"/>
        <v>0</v>
      </c>
      <c r="AM15" s="15">
        <f t="shared" si="16"/>
        <v>0</v>
      </c>
      <c r="AN15" s="15">
        <f t="shared" si="17"/>
        <v>0</v>
      </c>
      <c r="AO15" s="15">
        <f t="shared" si="18"/>
        <v>0</v>
      </c>
      <c r="AP15" s="15">
        <f t="shared" si="19"/>
        <v>0</v>
      </c>
      <c r="AQ15" s="15">
        <f t="shared" si="20"/>
        <v>0</v>
      </c>
      <c r="AR15" s="15">
        <f t="shared" si="21"/>
        <v>0</v>
      </c>
      <c r="AS15" s="15">
        <f t="shared" si="22"/>
        <v>0</v>
      </c>
      <c r="AT15" s="15">
        <f t="shared" si="23"/>
        <v>0</v>
      </c>
      <c r="AU15" s="15">
        <f t="shared" si="24"/>
        <v>0</v>
      </c>
      <c r="AV15" s="15">
        <f t="shared" si="25"/>
        <v>0</v>
      </c>
      <c r="AW15" s="15">
        <f t="shared" si="26"/>
        <v>1</v>
      </c>
      <c r="AX15" s="15">
        <f t="shared" si="27"/>
        <v>1</v>
      </c>
      <c r="AY15" s="15">
        <f t="shared" si="28"/>
        <v>0</v>
      </c>
      <c r="AZ15" s="15">
        <f t="shared" si="29"/>
        <v>0</v>
      </c>
      <c r="BA15" s="15">
        <f t="shared" si="30"/>
        <v>0</v>
      </c>
      <c r="BB15" s="15">
        <f t="shared" si="31"/>
        <v>0</v>
      </c>
      <c r="BC15" s="15">
        <f t="shared" si="32"/>
        <v>0</v>
      </c>
      <c r="BD15" s="15">
        <f t="shared" si="33"/>
        <v>0</v>
      </c>
      <c r="BE15" s="15">
        <f t="shared" si="34"/>
        <v>0</v>
      </c>
      <c r="BF15" s="15">
        <f t="shared" si="35"/>
        <v>0</v>
      </c>
      <c r="BG15" s="15">
        <f t="shared" si="36"/>
        <v>0</v>
      </c>
      <c r="BH15" s="15">
        <f t="shared" si="37"/>
        <v>0</v>
      </c>
      <c r="BI15" s="15">
        <f t="shared" si="38"/>
        <v>0</v>
      </c>
      <c r="BJ15" s="15">
        <f t="shared" si="39"/>
        <v>0</v>
      </c>
      <c r="BK15" s="15">
        <f t="shared" si="40"/>
        <v>0</v>
      </c>
      <c r="BL15" s="15">
        <f t="shared" si="41"/>
        <v>0</v>
      </c>
      <c r="BM15" s="15">
        <f t="shared" si="42"/>
        <v>0</v>
      </c>
      <c r="BN15" s="15">
        <f t="shared" si="43"/>
        <v>0</v>
      </c>
      <c r="BO15" s="15">
        <f t="shared" si="44"/>
        <v>0</v>
      </c>
      <c r="BP15" s="15">
        <f t="shared" si="45"/>
        <v>0</v>
      </c>
      <c r="BQ15" s="15">
        <f t="shared" si="46"/>
        <v>0</v>
      </c>
      <c r="BR15" s="15">
        <f t="shared" si="47"/>
        <v>0</v>
      </c>
      <c r="BS15" s="15">
        <f t="shared" si="48"/>
        <v>0</v>
      </c>
      <c r="BT15" s="15">
        <f t="shared" si="49"/>
        <v>0</v>
      </c>
      <c r="BU15" s="15">
        <f t="shared" si="50"/>
        <v>0</v>
      </c>
      <c r="BV15" s="15">
        <f t="shared" si="51"/>
        <v>0</v>
      </c>
      <c r="BW15" s="15">
        <f t="shared" si="52"/>
        <v>0</v>
      </c>
      <c r="BX15" s="15">
        <f t="shared" si="53"/>
        <v>0</v>
      </c>
      <c r="BY15" s="15">
        <f t="shared" si="54"/>
        <v>0</v>
      </c>
      <c r="BZ15" s="15">
        <f t="shared" si="55"/>
        <v>0</v>
      </c>
      <c r="CA15" s="15">
        <f t="shared" si="56"/>
        <v>0</v>
      </c>
      <c r="CB15" s="15">
        <f t="shared" si="57"/>
        <v>0</v>
      </c>
      <c r="CC15" s="15">
        <f t="shared" si="58"/>
        <v>0</v>
      </c>
      <c r="CD15" s="15">
        <f t="shared" si="59"/>
        <v>0</v>
      </c>
      <c r="CE15" s="15">
        <f t="shared" si="60"/>
        <v>0</v>
      </c>
      <c r="CF15" s="15">
        <f t="shared" si="61"/>
        <v>0</v>
      </c>
      <c r="CG15" s="15">
        <f t="shared" si="60"/>
        <v>0</v>
      </c>
      <c r="CH15" s="15">
        <f t="shared" si="62"/>
        <v>0</v>
      </c>
      <c r="CI15" s="15">
        <f t="shared" si="60"/>
        <v>0</v>
      </c>
      <c r="CJ15" s="15">
        <f t="shared" si="63"/>
        <v>0</v>
      </c>
      <c r="CK15" s="15">
        <f t="shared" si="60"/>
        <v>0</v>
      </c>
      <c r="CL15" s="15">
        <f t="shared" si="64"/>
        <v>0</v>
      </c>
      <c r="CM15" s="15">
        <f t="shared" si="60"/>
        <v>0</v>
      </c>
      <c r="CN15" s="15">
        <f t="shared" si="68"/>
        <v>0</v>
      </c>
      <c r="CO15" s="15">
        <f t="shared" si="60"/>
        <v>0</v>
      </c>
      <c r="CP15" s="15">
        <f t="shared" si="69"/>
        <v>0</v>
      </c>
      <c r="CQ15" s="15">
        <f t="shared" si="60"/>
        <v>0</v>
      </c>
      <c r="CR15" s="15">
        <f t="shared" si="70"/>
        <v>0</v>
      </c>
      <c r="CS15" s="2">
        <f t="shared" si="71"/>
        <v>4</v>
      </c>
      <c r="CT15" s="2">
        <f>IFERROR((VLOOKUP(A15,'Quad-Tech'!$F$1:$G$17,2,FALSE)),0)</f>
        <v>0</v>
      </c>
    </row>
    <row r="16" spans="1:98" ht="20.25" customHeight="1">
      <c r="A16" s="91">
        <f t="shared" si="72"/>
        <v>44993</v>
      </c>
      <c r="B16" s="92"/>
      <c r="C16" s="93"/>
      <c r="D16" s="41" t="str">
        <f>VLOOKUP(A16,'Quad-Tech'!A9:B373,2,FALSE)</f>
        <v>Wed</v>
      </c>
      <c r="E16" s="94" t="s">
        <v>174</v>
      </c>
      <c r="F16" s="95"/>
      <c r="G16" s="96"/>
      <c r="H16" s="74"/>
      <c r="I16" s="73"/>
      <c r="J16" s="94" t="s">
        <v>174</v>
      </c>
      <c r="K16" s="95"/>
      <c r="L16" s="95"/>
      <c r="M16" s="96"/>
      <c r="N16" s="33"/>
      <c r="O16" s="34"/>
      <c r="P16" s="32"/>
      <c r="Q16" s="16">
        <f t="shared" si="65"/>
        <v>0</v>
      </c>
      <c r="R16" s="15">
        <f t="shared" si="66"/>
        <v>0</v>
      </c>
      <c r="S16" s="15">
        <f t="shared" si="0"/>
        <v>0</v>
      </c>
      <c r="T16" s="15">
        <f t="shared" si="1"/>
        <v>0</v>
      </c>
      <c r="U16" s="15">
        <f t="shared" si="2"/>
        <v>0</v>
      </c>
      <c r="V16" s="15">
        <f t="shared" si="3"/>
        <v>0</v>
      </c>
      <c r="W16" s="15">
        <f t="shared" si="4"/>
        <v>0</v>
      </c>
      <c r="X16" s="15">
        <f t="shared" si="5"/>
        <v>0</v>
      </c>
      <c r="Y16" s="15">
        <f t="shared" si="4"/>
        <v>0</v>
      </c>
      <c r="Z16" s="15">
        <f t="shared" si="6"/>
        <v>0</v>
      </c>
      <c r="AA16" s="15">
        <f t="shared" si="4"/>
        <v>0</v>
      </c>
      <c r="AB16" s="15">
        <f t="shared" si="7"/>
        <v>0</v>
      </c>
      <c r="AC16" s="15">
        <f t="shared" si="4"/>
        <v>0</v>
      </c>
      <c r="AD16" s="15">
        <f t="shared" si="67"/>
        <v>0</v>
      </c>
      <c r="AE16" s="15">
        <f t="shared" si="8"/>
        <v>0</v>
      </c>
      <c r="AF16" s="15">
        <f t="shared" si="9"/>
        <v>0</v>
      </c>
      <c r="AG16" s="15">
        <f t="shared" si="10"/>
        <v>0</v>
      </c>
      <c r="AH16" s="15">
        <f t="shared" si="11"/>
        <v>0</v>
      </c>
      <c r="AI16" s="15">
        <f t="shared" si="12"/>
        <v>0</v>
      </c>
      <c r="AJ16" s="15">
        <f t="shared" si="13"/>
        <v>0</v>
      </c>
      <c r="AK16" s="15">
        <f t="shared" si="14"/>
        <v>0</v>
      </c>
      <c r="AL16" s="15">
        <f t="shared" si="15"/>
        <v>0</v>
      </c>
      <c r="AM16" s="15">
        <f t="shared" si="16"/>
        <v>0</v>
      </c>
      <c r="AN16" s="15">
        <f t="shared" si="17"/>
        <v>0</v>
      </c>
      <c r="AO16" s="15">
        <f t="shared" si="18"/>
        <v>0</v>
      </c>
      <c r="AP16" s="15">
        <f t="shared" si="19"/>
        <v>0</v>
      </c>
      <c r="AQ16" s="15">
        <f t="shared" si="20"/>
        <v>0</v>
      </c>
      <c r="AR16" s="15">
        <f t="shared" si="21"/>
        <v>0</v>
      </c>
      <c r="AS16" s="15">
        <f t="shared" si="22"/>
        <v>0</v>
      </c>
      <c r="AT16" s="15">
        <f t="shared" si="23"/>
        <v>0</v>
      </c>
      <c r="AU16" s="15">
        <f t="shared" si="24"/>
        <v>0</v>
      </c>
      <c r="AV16" s="15">
        <f t="shared" si="25"/>
        <v>0</v>
      </c>
      <c r="AW16" s="15">
        <f t="shared" si="26"/>
        <v>1</v>
      </c>
      <c r="AX16" s="15">
        <f t="shared" si="27"/>
        <v>1</v>
      </c>
      <c r="AY16" s="15">
        <f t="shared" si="28"/>
        <v>0</v>
      </c>
      <c r="AZ16" s="15">
        <f t="shared" si="29"/>
        <v>0</v>
      </c>
      <c r="BA16" s="15">
        <f t="shared" si="30"/>
        <v>0</v>
      </c>
      <c r="BB16" s="15">
        <f t="shared" si="31"/>
        <v>0</v>
      </c>
      <c r="BC16" s="15">
        <f t="shared" si="32"/>
        <v>0</v>
      </c>
      <c r="BD16" s="15">
        <f t="shared" si="33"/>
        <v>0</v>
      </c>
      <c r="BE16" s="15">
        <f t="shared" si="34"/>
        <v>0</v>
      </c>
      <c r="BF16" s="15">
        <f t="shared" si="35"/>
        <v>0</v>
      </c>
      <c r="BG16" s="15">
        <f t="shared" si="36"/>
        <v>0</v>
      </c>
      <c r="BH16" s="15">
        <f t="shared" si="37"/>
        <v>0</v>
      </c>
      <c r="BI16" s="15">
        <f t="shared" si="38"/>
        <v>0</v>
      </c>
      <c r="BJ16" s="15">
        <f t="shared" si="39"/>
        <v>0</v>
      </c>
      <c r="BK16" s="15">
        <f t="shared" si="40"/>
        <v>0</v>
      </c>
      <c r="BL16" s="15">
        <f t="shared" si="41"/>
        <v>0</v>
      </c>
      <c r="BM16" s="15">
        <f t="shared" si="42"/>
        <v>0</v>
      </c>
      <c r="BN16" s="15">
        <f t="shared" si="43"/>
        <v>0</v>
      </c>
      <c r="BO16" s="15">
        <f t="shared" si="44"/>
        <v>0</v>
      </c>
      <c r="BP16" s="15">
        <f t="shared" si="45"/>
        <v>0</v>
      </c>
      <c r="BQ16" s="15">
        <f t="shared" si="46"/>
        <v>0</v>
      </c>
      <c r="BR16" s="15">
        <f t="shared" si="47"/>
        <v>0</v>
      </c>
      <c r="BS16" s="15">
        <f t="shared" si="48"/>
        <v>0</v>
      </c>
      <c r="BT16" s="15">
        <f t="shared" si="49"/>
        <v>0</v>
      </c>
      <c r="BU16" s="15">
        <f t="shared" si="50"/>
        <v>0</v>
      </c>
      <c r="BV16" s="15">
        <f t="shared" si="51"/>
        <v>0</v>
      </c>
      <c r="BW16" s="15">
        <f t="shared" si="52"/>
        <v>0</v>
      </c>
      <c r="BX16" s="15">
        <f t="shared" si="53"/>
        <v>0</v>
      </c>
      <c r="BY16" s="15">
        <f t="shared" si="54"/>
        <v>0</v>
      </c>
      <c r="BZ16" s="15">
        <f t="shared" si="55"/>
        <v>0</v>
      </c>
      <c r="CA16" s="15">
        <f t="shared" si="56"/>
        <v>0</v>
      </c>
      <c r="CB16" s="15">
        <f t="shared" si="57"/>
        <v>0</v>
      </c>
      <c r="CC16" s="15">
        <f t="shared" si="58"/>
        <v>0</v>
      </c>
      <c r="CD16" s="15">
        <f t="shared" si="59"/>
        <v>0</v>
      </c>
      <c r="CE16" s="15">
        <f t="shared" si="60"/>
        <v>0</v>
      </c>
      <c r="CF16" s="15">
        <f t="shared" si="61"/>
        <v>0</v>
      </c>
      <c r="CG16" s="15">
        <f t="shared" si="60"/>
        <v>0</v>
      </c>
      <c r="CH16" s="15">
        <f t="shared" si="62"/>
        <v>0</v>
      </c>
      <c r="CI16" s="15">
        <f t="shared" si="60"/>
        <v>0</v>
      </c>
      <c r="CJ16" s="15">
        <f t="shared" si="63"/>
        <v>0</v>
      </c>
      <c r="CK16" s="15">
        <f t="shared" si="60"/>
        <v>0</v>
      </c>
      <c r="CL16" s="15">
        <f t="shared" si="64"/>
        <v>0</v>
      </c>
      <c r="CM16" s="15">
        <f t="shared" si="60"/>
        <v>0</v>
      </c>
      <c r="CN16" s="15">
        <f t="shared" si="68"/>
        <v>0</v>
      </c>
      <c r="CO16" s="15">
        <f t="shared" si="60"/>
        <v>0</v>
      </c>
      <c r="CP16" s="15">
        <f t="shared" si="69"/>
        <v>0</v>
      </c>
      <c r="CQ16" s="15">
        <f t="shared" si="60"/>
        <v>0</v>
      </c>
      <c r="CR16" s="15">
        <f t="shared" si="70"/>
        <v>0</v>
      </c>
      <c r="CS16" s="2">
        <f t="shared" si="71"/>
        <v>4</v>
      </c>
      <c r="CT16" s="2">
        <f>IFERROR((VLOOKUP(A16,'Quad-Tech'!$F$1:$G$17,2,FALSE)),0)</f>
        <v>0</v>
      </c>
    </row>
    <row r="17" spans="1:98" ht="20.25" customHeight="1">
      <c r="A17" s="91">
        <f t="shared" si="72"/>
        <v>44994</v>
      </c>
      <c r="B17" s="92"/>
      <c r="C17" s="93"/>
      <c r="D17" s="41" t="str">
        <f>VLOOKUP(A17,'Quad-Tech'!A10:B374,2,FALSE)</f>
        <v>Thu</v>
      </c>
      <c r="E17" s="94" t="s">
        <v>174</v>
      </c>
      <c r="F17" s="95"/>
      <c r="G17" s="96"/>
      <c r="H17" s="74"/>
      <c r="I17" s="73"/>
      <c r="J17" s="94" t="s">
        <v>174</v>
      </c>
      <c r="K17" s="95"/>
      <c r="L17" s="95"/>
      <c r="M17" s="96"/>
      <c r="N17" s="33"/>
      <c r="O17" s="34"/>
      <c r="P17" s="32"/>
      <c r="Q17" s="16">
        <f t="shared" si="65"/>
        <v>0</v>
      </c>
      <c r="R17" s="15">
        <f t="shared" si="66"/>
        <v>0</v>
      </c>
      <c r="S17" s="15">
        <f t="shared" si="0"/>
        <v>0</v>
      </c>
      <c r="T17" s="15">
        <f t="shared" si="1"/>
        <v>0</v>
      </c>
      <c r="U17" s="15">
        <f t="shared" si="2"/>
        <v>0</v>
      </c>
      <c r="V17" s="15">
        <f t="shared" si="3"/>
        <v>0</v>
      </c>
      <c r="W17" s="15">
        <f t="shared" si="4"/>
        <v>0</v>
      </c>
      <c r="X17" s="15">
        <f t="shared" si="5"/>
        <v>0</v>
      </c>
      <c r="Y17" s="15">
        <f t="shared" si="4"/>
        <v>0</v>
      </c>
      <c r="Z17" s="15">
        <f t="shared" si="6"/>
        <v>0</v>
      </c>
      <c r="AA17" s="15">
        <f t="shared" si="4"/>
        <v>0</v>
      </c>
      <c r="AB17" s="15">
        <f t="shared" si="7"/>
        <v>0</v>
      </c>
      <c r="AC17" s="15">
        <f t="shared" si="4"/>
        <v>0</v>
      </c>
      <c r="AD17" s="15">
        <f t="shared" si="67"/>
        <v>0</v>
      </c>
      <c r="AE17" s="15">
        <f t="shared" si="8"/>
        <v>0</v>
      </c>
      <c r="AF17" s="15">
        <f t="shared" si="9"/>
        <v>0</v>
      </c>
      <c r="AG17" s="15">
        <f t="shared" si="10"/>
        <v>0</v>
      </c>
      <c r="AH17" s="15">
        <f t="shared" si="11"/>
        <v>0</v>
      </c>
      <c r="AI17" s="15">
        <f t="shared" si="12"/>
        <v>0</v>
      </c>
      <c r="AJ17" s="15">
        <f t="shared" si="13"/>
        <v>0</v>
      </c>
      <c r="AK17" s="15">
        <f t="shared" si="14"/>
        <v>0</v>
      </c>
      <c r="AL17" s="15">
        <f t="shared" si="15"/>
        <v>0</v>
      </c>
      <c r="AM17" s="15">
        <f t="shared" si="16"/>
        <v>0</v>
      </c>
      <c r="AN17" s="15">
        <f t="shared" si="17"/>
        <v>0</v>
      </c>
      <c r="AO17" s="15">
        <f t="shared" si="18"/>
        <v>0</v>
      </c>
      <c r="AP17" s="15">
        <f t="shared" si="19"/>
        <v>0</v>
      </c>
      <c r="AQ17" s="15">
        <f t="shared" si="20"/>
        <v>0</v>
      </c>
      <c r="AR17" s="15">
        <f t="shared" si="21"/>
        <v>0</v>
      </c>
      <c r="AS17" s="15">
        <f t="shared" si="22"/>
        <v>0</v>
      </c>
      <c r="AT17" s="15">
        <f t="shared" si="23"/>
        <v>0</v>
      </c>
      <c r="AU17" s="15">
        <f t="shared" si="24"/>
        <v>0</v>
      </c>
      <c r="AV17" s="15">
        <f t="shared" si="25"/>
        <v>0</v>
      </c>
      <c r="AW17" s="15">
        <f t="shared" si="26"/>
        <v>1</v>
      </c>
      <c r="AX17" s="15">
        <f t="shared" si="27"/>
        <v>1</v>
      </c>
      <c r="AY17" s="15">
        <f t="shared" si="28"/>
        <v>0</v>
      </c>
      <c r="AZ17" s="15">
        <f t="shared" si="29"/>
        <v>0</v>
      </c>
      <c r="BA17" s="15">
        <f t="shared" si="30"/>
        <v>0</v>
      </c>
      <c r="BB17" s="15">
        <f t="shared" si="31"/>
        <v>0</v>
      </c>
      <c r="BC17" s="15">
        <f t="shared" si="32"/>
        <v>0</v>
      </c>
      <c r="BD17" s="15">
        <f t="shared" si="33"/>
        <v>0</v>
      </c>
      <c r="BE17" s="15">
        <f t="shared" si="34"/>
        <v>0</v>
      </c>
      <c r="BF17" s="15">
        <f t="shared" si="35"/>
        <v>0</v>
      </c>
      <c r="BG17" s="15">
        <f t="shared" si="36"/>
        <v>0</v>
      </c>
      <c r="BH17" s="15">
        <f t="shared" si="37"/>
        <v>0</v>
      </c>
      <c r="BI17" s="15">
        <f t="shared" si="38"/>
        <v>0</v>
      </c>
      <c r="BJ17" s="15">
        <f t="shared" si="39"/>
        <v>0</v>
      </c>
      <c r="BK17" s="15">
        <f t="shared" si="40"/>
        <v>0</v>
      </c>
      <c r="BL17" s="15">
        <f t="shared" si="41"/>
        <v>0</v>
      </c>
      <c r="BM17" s="15">
        <f t="shared" si="42"/>
        <v>0</v>
      </c>
      <c r="BN17" s="15">
        <f t="shared" si="43"/>
        <v>0</v>
      </c>
      <c r="BO17" s="15">
        <f t="shared" si="44"/>
        <v>0</v>
      </c>
      <c r="BP17" s="15">
        <f t="shared" si="45"/>
        <v>0</v>
      </c>
      <c r="BQ17" s="15">
        <f t="shared" si="46"/>
        <v>0</v>
      </c>
      <c r="BR17" s="15">
        <f t="shared" si="47"/>
        <v>0</v>
      </c>
      <c r="BS17" s="15">
        <f t="shared" si="48"/>
        <v>0</v>
      </c>
      <c r="BT17" s="15">
        <f t="shared" si="49"/>
        <v>0</v>
      </c>
      <c r="BU17" s="15">
        <f t="shared" si="50"/>
        <v>0</v>
      </c>
      <c r="BV17" s="15">
        <f t="shared" si="51"/>
        <v>0</v>
      </c>
      <c r="BW17" s="15">
        <f t="shared" si="52"/>
        <v>0</v>
      </c>
      <c r="BX17" s="15">
        <f t="shared" si="53"/>
        <v>0</v>
      </c>
      <c r="BY17" s="15">
        <f t="shared" si="54"/>
        <v>0</v>
      </c>
      <c r="BZ17" s="15">
        <f t="shared" si="55"/>
        <v>0</v>
      </c>
      <c r="CA17" s="15">
        <f t="shared" si="56"/>
        <v>0</v>
      </c>
      <c r="CB17" s="15">
        <f t="shared" si="57"/>
        <v>0</v>
      </c>
      <c r="CC17" s="15">
        <f t="shared" si="58"/>
        <v>0</v>
      </c>
      <c r="CD17" s="15">
        <f t="shared" si="59"/>
        <v>0</v>
      </c>
      <c r="CE17" s="15">
        <f t="shared" si="60"/>
        <v>0</v>
      </c>
      <c r="CF17" s="15">
        <f t="shared" si="61"/>
        <v>0</v>
      </c>
      <c r="CG17" s="15">
        <f t="shared" si="60"/>
        <v>0</v>
      </c>
      <c r="CH17" s="15">
        <f t="shared" si="62"/>
        <v>0</v>
      </c>
      <c r="CI17" s="15">
        <f t="shared" si="60"/>
        <v>0</v>
      </c>
      <c r="CJ17" s="15">
        <f t="shared" si="63"/>
        <v>0</v>
      </c>
      <c r="CK17" s="15">
        <f t="shared" si="60"/>
        <v>0</v>
      </c>
      <c r="CL17" s="15">
        <f t="shared" si="64"/>
        <v>0</v>
      </c>
      <c r="CM17" s="15">
        <f t="shared" si="60"/>
        <v>0</v>
      </c>
      <c r="CN17" s="15">
        <f t="shared" si="68"/>
        <v>0</v>
      </c>
      <c r="CO17" s="15">
        <f t="shared" si="60"/>
        <v>0</v>
      </c>
      <c r="CP17" s="15">
        <f t="shared" si="69"/>
        <v>0</v>
      </c>
      <c r="CQ17" s="15">
        <f t="shared" si="60"/>
        <v>0</v>
      </c>
      <c r="CR17" s="15">
        <f t="shared" si="70"/>
        <v>0</v>
      </c>
      <c r="CS17" s="2">
        <f t="shared" si="71"/>
        <v>4</v>
      </c>
      <c r="CT17" s="2">
        <f>IFERROR((VLOOKUP(A17,'Quad-Tech'!$F$1:$G$17,2,FALSE)),0)</f>
        <v>0</v>
      </c>
    </row>
    <row r="18" spans="1:98" ht="20.25" customHeight="1">
      <c r="A18" s="91">
        <f t="shared" si="72"/>
        <v>44995</v>
      </c>
      <c r="B18" s="92"/>
      <c r="C18" s="93"/>
      <c r="D18" s="41" t="str">
        <f>VLOOKUP(A18,'Quad-Tech'!A11:B375,2,FALSE)</f>
        <v>Fri</v>
      </c>
      <c r="E18" s="94" t="s">
        <v>174</v>
      </c>
      <c r="F18" s="95"/>
      <c r="G18" s="96"/>
      <c r="H18" s="74"/>
      <c r="I18" s="73"/>
      <c r="J18" s="94" t="s">
        <v>174</v>
      </c>
      <c r="K18" s="95"/>
      <c r="L18" s="95"/>
      <c r="M18" s="96"/>
      <c r="N18" s="33"/>
      <c r="O18" s="34"/>
      <c r="P18" s="32"/>
      <c r="Q18" s="16">
        <f t="shared" si="65"/>
        <v>0</v>
      </c>
      <c r="R18" s="15">
        <f t="shared" si="66"/>
        <v>0</v>
      </c>
      <c r="S18" s="15">
        <f t="shared" si="0"/>
        <v>0</v>
      </c>
      <c r="T18" s="15">
        <f t="shared" si="1"/>
        <v>0</v>
      </c>
      <c r="U18" s="15">
        <f t="shared" si="2"/>
        <v>0</v>
      </c>
      <c r="V18" s="15">
        <f t="shared" si="3"/>
        <v>0</v>
      </c>
      <c r="W18" s="15">
        <f t="shared" si="4"/>
        <v>0</v>
      </c>
      <c r="X18" s="15">
        <f t="shared" si="5"/>
        <v>0</v>
      </c>
      <c r="Y18" s="15">
        <f t="shared" si="4"/>
        <v>0</v>
      </c>
      <c r="Z18" s="15">
        <f t="shared" si="6"/>
        <v>0</v>
      </c>
      <c r="AA18" s="15">
        <f t="shared" si="4"/>
        <v>0</v>
      </c>
      <c r="AB18" s="15">
        <f t="shared" si="7"/>
        <v>0</v>
      </c>
      <c r="AC18" s="15">
        <f t="shared" si="4"/>
        <v>0</v>
      </c>
      <c r="AD18" s="15">
        <f t="shared" si="67"/>
        <v>0</v>
      </c>
      <c r="AE18" s="15">
        <f t="shared" si="8"/>
        <v>0</v>
      </c>
      <c r="AF18" s="15">
        <f t="shared" si="9"/>
        <v>0</v>
      </c>
      <c r="AG18" s="15">
        <f t="shared" si="10"/>
        <v>0</v>
      </c>
      <c r="AH18" s="15">
        <f t="shared" si="11"/>
        <v>0</v>
      </c>
      <c r="AI18" s="15">
        <f t="shared" si="12"/>
        <v>0</v>
      </c>
      <c r="AJ18" s="15">
        <f t="shared" si="13"/>
        <v>0</v>
      </c>
      <c r="AK18" s="15">
        <f t="shared" si="14"/>
        <v>0</v>
      </c>
      <c r="AL18" s="15">
        <f t="shared" si="15"/>
        <v>0</v>
      </c>
      <c r="AM18" s="15">
        <f t="shared" si="16"/>
        <v>0</v>
      </c>
      <c r="AN18" s="15">
        <f t="shared" si="17"/>
        <v>0</v>
      </c>
      <c r="AO18" s="15">
        <f t="shared" si="18"/>
        <v>0</v>
      </c>
      <c r="AP18" s="15">
        <f t="shared" si="19"/>
        <v>0</v>
      </c>
      <c r="AQ18" s="15">
        <f t="shared" si="20"/>
        <v>0</v>
      </c>
      <c r="AR18" s="15">
        <f t="shared" si="21"/>
        <v>0</v>
      </c>
      <c r="AS18" s="15">
        <f t="shared" si="22"/>
        <v>0</v>
      </c>
      <c r="AT18" s="15">
        <f t="shared" si="23"/>
        <v>0</v>
      </c>
      <c r="AU18" s="15">
        <f t="shared" si="24"/>
        <v>0</v>
      </c>
      <c r="AV18" s="15">
        <f t="shared" si="25"/>
        <v>0</v>
      </c>
      <c r="AW18" s="15">
        <f t="shared" si="26"/>
        <v>1</v>
      </c>
      <c r="AX18" s="15">
        <f t="shared" si="27"/>
        <v>1</v>
      </c>
      <c r="AY18" s="15">
        <f t="shared" si="28"/>
        <v>0</v>
      </c>
      <c r="AZ18" s="15">
        <f t="shared" si="29"/>
        <v>0</v>
      </c>
      <c r="BA18" s="15">
        <f t="shared" si="30"/>
        <v>0</v>
      </c>
      <c r="BB18" s="15">
        <f t="shared" si="31"/>
        <v>0</v>
      </c>
      <c r="BC18" s="15">
        <f t="shared" si="32"/>
        <v>0</v>
      </c>
      <c r="BD18" s="15">
        <f t="shared" si="33"/>
        <v>0</v>
      </c>
      <c r="BE18" s="15">
        <f t="shared" si="34"/>
        <v>0</v>
      </c>
      <c r="BF18" s="15">
        <f t="shared" si="35"/>
        <v>0</v>
      </c>
      <c r="BG18" s="15">
        <f t="shared" si="36"/>
        <v>0</v>
      </c>
      <c r="BH18" s="15">
        <f t="shared" si="37"/>
        <v>0</v>
      </c>
      <c r="BI18" s="15">
        <f t="shared" si="38"/>
        <v>0</v>
      </c>
      <c r="BJ18" s="15">
        <f t="shared" si="39"/>
        <v>0</v>
      </c>
      <c r="BK18" s="15">
        <f t="shared" si="40"/>
        <v>0</v>
      </c>
      <c r="BL18" s="15">
        <f t="shared" si="41"/>
        <v>0</v>
      </c>
      <c r="BM18" s="15">
        <f t="shared" si="42"/>
        <v>0</v>
      </c>
      <c r="BN18" s="15">
        <f t="shared" si="43"/>
        <v>0</v>
      </c>
      <c r="BO18" s="15">
        <f t="shared" si="44"/>
        <v>0</v>
      </c>
      <c r="BP18" s="15">
        <f t="shared" si="45"/>
        <v>0</v>
      </c>
      <c r="BQ18" s="15">
        <f t="shared" si="46"/>
        <v>0</v>
      </c>
      <c r="BR18" s="15">
        <f t="shared" si="47"/>
        <v>0</v>
      </c>
      <c r="BS18" s="15">
        <f t="shared" si="48"/>
        <v>0</v>
      </c>
      <c r="BT18" s="15">
        <f t="shared" si="49"/>
        <v>0</v>
      </c>
      <c r="BU18" s="15">
        <f t="shared" si="50"/>
        <v>0</v>
      </c>
      <c r="BV18" s="15">
        <f t="shared" si="51"/>
        <v>0</v>
      </c>
      <c r="BW18" s="15">
        <f t="shared" si="52"/>
        <v>0</v>
      </c>
      <c r="BX18" s="15">
        <f t="shared" si="53"/>
        <v>0</v>
      </c>
      <c r="BY18" s="15">
        <f t="shared" si="54"/>
        <v>0</v>
      </c>
      <c r="BZ18" s="15">
        <f t="shared" si="55"/>
        <v>0</v>
      </c>
      <c r="CA18" s="15">
        <f t="shared" si="56"/>
        <v>0</v>
      </c>
      <c r="CB18" s="15">
        <f t="shared" si="57"/>
        <v>0</v>
      </c>
      <c r="CC18" s="15">
        <f t="shared" si="58"/>
        <v>0</v>
      </c>
      <c r="CD18" s="15">
        <f t="shared" si="59"/>
        <v>0</v>
      </c>
      <c r="CE18" s="15">
        <f t="shared" si="60"/>
        <v>0</v>
      </c>
      <c r="CF18" s="15">
        <f t="shared" si="61"/>
        <v>0</v>
      </c>
      <c r="CG18" s="15">
        <f t="shared" si="60"/>
        <v>0</v>
      </c>
      <c r="CH18" s="15">
        <f t="shared" si="62"/>
        <v>0</v>
      </c>
      <c r="CI18" s="15">
        <f t="shared" si="60"/>
        <v>0</v>
      </c>
      <c r="CJ18" s="15">
        <f t="shared" si="63"/>
        <v>0</v>
      </c>
      <c r="CK18" s="15">
        <f t="shared" si="60"/>
        <v>0</v>
      </c>
      <c r="CL18" s="15">
        <f t="shared" si="64"/>
        <v>0</v>
      </c>
      <c r="CM18" s="15">
        <f t="shared" si="60"/>
        <v>0</v>
      </c>
      <c r="CN18" s="15">
        <f t="shared" si="68"/>
        <v>0</v>
      </c>
      <c r="CO18" s="15">
        <f t="shared" si="60"/>
        <v>0</v>
      </c>
      <c r="CP18" s="15">
        <f t="shared" si="69"/>
        <v>0</v>
      </c>
      <c r="CQ18" s="15">
        <f t="shared" si="60"/>
        <v>0</v>
      </c>
      <c r="CR18" s="15">
        <f t="shared" si="70"/>
        <v>0</v>
      </c>
      <c r="CS18" s="2">
        <f t="shared" si="71"/>
        <v>4</v>
      </c>
      <c r="CT18" s="2">
        <f>IFERROR((VLOOKUP(A18,'Quad-Tech'!$F$1:$G$17,2,FALSE)),0)</f>
        <v>0</v>
      </c>
    </row>
    <row r="19" spans="1:98" ht="20.25" customHeight="1">
      <c r="A19" s="91">
        <f t="shared" si="72"/>
        <v>44996</v>
      </c>
      <c r="B19" s="92"/>
      <c r="C19" s="93"/>
      <c r="D19" s="41" t="str">
        <f>VLOOKUP(A19,'Quad-Tech'!A12:B376,2,FALSE)</f>
        <v>Sat</v>
      </c>
      <c r="E19" s="94" t="s">
        <v>13</v>
      </c>
      <c r="F19" s="95"/>
      <c r="G19" s="96"/>
      <c r="H19" s="74"/>
      <c r="I19" s="73"/>
      <c r="J19" s="94" t="s">
        <v>13</v>
      </c>
      <c r="K19" s="95"/>
      <c r="L19" s="95"/>
      <c r="M19" s="96"/>
      <c r="N19" s="33"/>
      <c r="O19" s="34"/>
      <c r="P19" s="32"/>
      <c r="Q19" s="16">
        <f t="shared" si="65"/>
        <v>0</v>
      </c>
      <c r="R19" s="15">
        <f t="shared" si="66"/>
        <v>0</v>
      </c>
      <c r="S19" s="15">
        <f t="shared" si="0"/>
        <v>0</v>
      </c>
      <c r="T19" s="15">
        <f t="shared" si="1"/>
        <v>0</v>
      </c>
      <c r="U19" s="15">
        <f t="shared" si="2"/>
        <v>0</v>
      </c>
      <c r="V19" s="15">
        <f t="shared" si="3"/>
        <v>0</v>
      </c>
      <c r="W19" s="15">
        <f t="shared" si="4"/>
        <v>0</v>
      </c>
      <c r="X19" s="15">
        <f t="shared" si="5"/>
        <v>0</v>
      </c>
      <c r="Y19" s="15">
        <f t="shared" si="4"/>
        <v>0</v>
      </c>
      <c r="Z19" s="15">
        <f t="shared" si="6"/>
        <v>0</v>
      </c>
      <c r="AA19" s="15">
        <f t="shared" si="4"/>
        <v>1</v>
      </c>
      <c r="AB19" s="15">
        <f t="shared" si="7"/>
        <v>1</v>
      </c>
      <c r="AC19" s="15">
        <f t="shared" si="4"/>
        <v>0</v>
      </c>
      <c r="AD19" s="15">
        <f t="shared" si="67"/>
        <v>0</v>
      </c>
      <c r="AE19" s="15">
        <f t="shared" si="8"/>
        <v>0</v>
      </c>
      <c r="AF19" s="15">
        <f t="shared" si="9"/>
        <v>0</v>
      </c>
      <c r="AG19" s="15">
        <f t="shared" si="10"/>
        <v>0</v>
      </c>
      <c r="AH19" s="15">
        <f t="shared" si="11"/>
        <v>0</v>
      </c>
      <c r="AI19" s="15">
        <f t="shared" si="12"/>
        <v>0</v>
      </c>
      <c r="AJ19" s="15">
        <f t="shared" si="13"/>
        <v>0</v>
      </c>
      <c r="AK19" s="15">
        <f t="shared" si="14"/>
        <v>0</v>
      </c>
      <c r="AL19" s="15">
        <f t="shared" si="15"/>
        <v>0</v>
      </c>
      <c r="AM19" s="15">
        <f t="shared" si="16"/>
        <v>0</v>
      </c>
      <c r="AN19" s="15">
        <f t="shared" si="17"/>
        <v>0</v>
      </c>
      <c r="AO19" s="15">
        <f t="shared" si="18"/>
        <v>0</v>
      </c>
      <c r="AP19" s="15">
        <f t="shared" si="19"/>
        <v>0</v>
      </c>
      <c r="AQ19" s="15">
        <f t="shared" si="20"/>
        <v>0</v>
      </c>
      <c r="AR19" s="15">
        <f t="shared" si="21"/>
        <v>0</v>
      </c>
      <c r="AS19" s="15">
        <f t="shared" si="22"/>
        <v>0</v>
      </c>
      <c r="AT19" s="15">
        <f t="shared" si="23"/>
        <v>0</v>
      </c>
      <c r="AU19" s="15">
        <f t="shared" si="24"/>
        <v>0</v>
      </c>
      <c r="AV19" s="15">
        <f t="shared" si="25"/>
        <v>0</v>
      </c>
      <c r="AW19" s="15">
        <f t="shared" si="26"/>
        <v>0</v>
      </c>
      <c r="AX19" s="15">
        <f t="shared" si="27"/>
        <v>0</v>
      </c>
      <c r="AY19" s="15">
        <f t="shared" si="28"/>
        <v>0</v>
      </c>
      <c r="AZ19" s="15">
        <f t="shared" si="29"/>
        <v>0</v>
      </c>
      <c r="BA19" s="15">
        <f t="shared" si="30"/>
        <v>0</v>
      </c>
      <c r="BB19" s="15">
        <f t="shared" si="31"/>
        <v>0</v>
      </c>
      <c r="BC19" s="15">
        <f t="shared" si="32"/>
        <v>0</v>
      </c>
      <c r="BD19" s="15">
        <f t="shared" si="33"/>
        <v>0</v>
      </c>
      <c r="BE19" s="15">
        <f t="shared" si="34"/>
        <v>0</v>
      </c>
      <c r="BF19" s="15">
        <f t="shared" si="35"/>
        <v>0</v>
      </c>
      <c r="BG19" s="15">
        <f t="shared" si="36"/>
        <v>0</v>
      </c>
      <c r="BH19" s="15">
        <f t="shared" si="37"/>
        <v>0</v>
      </c>
      <c r="BI19" s="15">
        <f t="shared" si="38"/>
        <v>0</v>
      </c>
      <c r="BJ19" s="15">
        <f t="shared" si="39"/>
        <v>0</v>
      </c>
      <c r="BK19" s="15">
        <f t="shared" si="40"/>
        <v>0</v>
      </c>
      <c r="BL19" s="15">
        <f t="shared" si="41"/>
        <v>0</v>
      </c>
      <c r="BM19" s="15">
        <f t="shared" si="42"/>
        <v>0</v>
      </c>
      <c r="BN19" s="15">
        <f t="shared" si="43"/>
        <v>0</v>
      </c>
      <c r="BO19" s="15">
        <f t="shared" si="44"/>
        <v>0</v>
      </c>
      <c r="BP19" s="15">
        <f t="shared" si="45"/>
        <v>0</v>
      </c>
      <c r="BQ19" s="15">
        <f t="shared" si="46"/>
        <v>0</v>
      </c>
      <c r="BR19" s="15">
        <f t="shared" si="47"/>
        <v>0</v>
      </c>
      <c r="BS19" s="15">
        <f t="shared" si="48"/>
        <v>0</v>
      </c>
      <c r="BT19" s="15">
        <f t="shared" si="49"/>
        <v>0</v>
      </c>
      <c r="BU19" s="15">
        <f t="shared" si="50"/>
        <v>0</v>
      </c>
      <c r="BV19" s="15">
        <f t="shared" si="51"/>
        <v>0</v>
      </c>
      <c r="BW19" s="15">
        <f t="shared" si="52"/>
        <v>0</v>
      </c>
      <c r="BX19" s="15">
        <f t="shared" si="53"/>
        <v>0</v>
      </c>
      <c r="BY19" s="15">
        <f t="shared" si="54"/>
        <v>0</v>
      </c>
      <c r="BZ19" s="15">
        <f t="shared" si="55"/>
        <v>0</v>
      </c>
      <c r="CA19" s="15">
        <f t="shared" si="56"/>
        <v>0</v>
      </c>
      <c r="CB19" s="15">
        <f t="shared" si="57"/>
        <v>0</v>
      </c>
      <c r="CC19" s="15">
        <f t="shared" si="58"/>
        <v>0</v>
      </c>
      <c r="CD19" s="15">
        <f t="shared" si="59"/>
        <v>0</v>
      </c>
      <c r="CE19" s="15">
        <f t="shared" si="60"/>
        <v>0</v>
      </c>
      <c r="CF19" s="15">
        <f t="shared" si="61"/>
        <v>0</v>
      </c>
      <c r="CG19" s="15">
        <f t="shared" si="60"/>
        <v>0</v>
      </c>
      <c r="CH19" s="15">
        <f t="shared" si="62"/>
        <v>0</v>
      </c>
      <c r="CI19" s="15">
        <f t="shared" si="60"/>
        <v>0</v>
      </c>
      <c r="CJ19" s="15">
        <f t="shared" si="63"/>
        <v>0</v>
      </c>
      <c r="CK19" s="15">
        <f t="shared" si="60"/>
        <v>0</v>
      </c>
      <c r="CL19" s="15">
        <f t="shared" si="64"/>
        <v>0</v>
      </c>
      <c r="CM19" s="15">
        <f t="shared" si="60"/>
        <v>0</v>
      </c>
      <c r="CN19" s="15">
        <f t="shared" si="68"/>
        <v>0</v>
      </c>
      <c r="CO19" s="15">
        <f t="shared" si="60"/>
        <v>0</v>
      </c>
      <c r="CP19" s="15">
        <f t="shared" si="69"/>
        <v>0</v>
      </c>
      <c r="CQ19" s="15">
        <f t="shared" si="60"/>
        <v>0</v>
      </c>
      <c r="CR19" s="15">
        <f t="shared" si="70"/>
        <v>0</v>
      </c>
      <c r="CS19" s="2">
        <f t="shared" si="71"/>
        <v>4</v>
      </c>
      <c r="CT19" s="2">
        <f>IFERROR((VLOOKUP(A19,'Quad-Tech'!$F$1:$G$17,2,FALSE)),0)</f>
        <v>0</v>
      </c>
    </row>
    <row r="20" spans="1:98" ht="20.25" customHeight="1">
      <c r="A20" s="91">
        <f t="shared" si="72"/>
        <v>44997</v>
      </c>
      <c r="B20" s="92"/>
      <c r="C20" s="93"/>
      <c r="D20" s="41" t="str">
        <f>VLOOKUP(A20,'Quad-Tech'!A13:B377,2,FALSE)</f>
        <v>Sun</v>
      </c>
      <c r="E20" s="94" t="s">
        <v>14</v>
      </c>
      <c r="F20" s="95"/>
      <c r="G20" s="96"/>
      <c r="H20" s="74"/>
      <c r="I20" s="73"/>
      <c r="J20" s="94" t="s">
        <v>14</v>
      </c>
      <c r="K20" s="95"/>
      <c r="L20" s="95"/>
      <c r="M20" s="96"/>
      <c r="N20" s="33"/>
      <c r="O20" s="34"/>
      <c r="P20" s="32"/>
      <c r="Q20" s="16">
        <f t="shared" si="65"/>
        <v>0</v>
      </c>
      <c r="R20" s="15">
        <f t="shared" si="66"/>
        <v>0</v>
      </c>
      <c r="S20" s="15">
        <f t="shared" si="0"/>
        <v>1</v>
      </c>
      <c r="T20" s="15">
        <f t="shared" si="1"/>
        <v>1</v>
      </c>
      <c r="U20" s="15">
        <f t="shared" si="2"/>
        <v>0</v>
      </c>
      <c r="V20" s="15">
        <f t="shared" si="3"/>
        <v>0</v>
      </c>
      <c r="W20" s="15">
        <f t="shared" si="4"/>
        <v>0</v>
      </c>
      <c r="X20" s="15">
        <f t="shared" si="5"/>
        <v>0</v>
      </c>
      <c r="Y20" s="15">
        <f t="shared" si="4"/>
        <v>0</v>
      </c>
      <c r="Z20" s="15">
        <f t="shared" si="6"/>
        <v>0</v>
      </c>
      <c r="AA20" s="15">
        <f t="shared" si="4"/>
        <v>0</v>
      </c>
      <c r="AB20" s="15">
        <f t="shared" si="7"/>
        <v>0</v>
      </c>
      <c r="AC20" s="15">
        <f t="shared" si="4"/>
        <v>0</v>
      </c>
      <c r="AD20" s="15">
        <f t="shared" si="67"/>
        <v>0</v>
      </c>
      <c r="AE20" s="15">
        <f t="shared" si="8"/>
        <v>0</v>
      </c>
      <c r="AF20" s="15">
        <f t="shared" si="9"/>
        <v>0</v>
      </c>
      <c r="AG20" s="15">
        <f t="shared" si="10"/>
        <v>0</v>
      </c>
      <c r="AH20" s="15">
        <f t="shared" si="11"/>
        <v>0</v>
      </c>
      <c r="AI20" s="15">
        <f t="shared" si="12"/>
        <v>0</v>
      </c>
      <c r="AJ20" s="15">
        <f t="shared" si="13"/>
        <v>0</v>
      </c>
      <c r="AK20" s="15">
        <f t="shared" si="14"/>
        <v>0</v>
      </c>
      <c r="AL20" s="15">
        <f t="shared" si="15"/>
        <v>0</v>
      </c>
      <c r="AM20" s="15">
        <f t="shared" si="16"/>
        <v>0</v>
      </c>
      <c r="AN20" s="15">
        <f t="shared" si="17"/>
        <v>0</v>
      </c>
      <c r="AO20" s="15">
        <f t="shared" si="18"/>
        <v>0</v>
      </c>
      <c r="AP20" s="15">
        <f t="shared" si="19"/>
        <v>0</v>
      </c>
      <c r="AQ20" s="15">
        <f t="shared" si="20"/>
        <v>0</v>
      </c>
      <c r="AR20" s="15">
        <f t="shared" si="21"/>
        <v>0</v>
      </c>
      <c r="AS20" s="15">
        <f t="shared" si="22"/>
        <v>0</v>
      </c>
      <c r="AT20" s="15">
        <f t="shared" si="23"/>
        <v>0</v>
      </c>
      <c r="AU20" s="15">
        <f t="shared" si="24"/>
        <v>0</v>
      </c>
      <c r="AV20" s="15">
        <f t="shared" si="25"/>
        <v>0</v>
      </c>
      <c r="AW20" s="15">
        <f t="shared" si="26"/>
        <v>0</v>
      </c>
      <c r="AX20" s="15">
        <f t="shared" si="27"/>
        <v>0</v>
      </c>
      <c r="AY20" s="15">
        <f t="shared" si="28"/>
        <v>0</v>
      </c>
      <c r="AZ20" s="15">
        <f t="shared" si="29"/>
        <v>0</v>
      </c>
      <c r="BA20" s="15">
        <f t="shared" si="30"/>
        <v>0</v>
      </c>
      <c r="BB20" s="15">
        <f t="shared" si="31"/>
        <v>0</v>
      </c>
      <c r="BC20" s="15">
        <f t="shared" si="32"/>
        <v>0</v>
      </c>
      <c r="BD20" s="15">
        <f t="shared" si="33"/>
        <v>0</v>
      </c>
      <c r="BE20" s="15">
        <f t="shared" si="34"/>
        <v>0</v>
      </c>
      <c r="BF20" s="15">
        <f t="shared" si="35"/>
        <v>0</v>
      </c>
      <c r="BG20" s="15">
        <f t="shared" si="36"/>
        <v>0</v>
      </c>
      <c r="BH20" s="15">
        <f t="shared" si="37"/>
        <v>0</v>
      </c>
      <c r="BI20" s="15">
        <f t="shared" si="38"/>
        <v>0</v>
      </c>
      <c r="BJ20" s="15">
        <f t="shared" si="39"/>
        <v>0</v>
      </c>
      <c r="BK20" s="15">
        <f t="shared" si="40"/>
        <v>0</v>
      </c>
      <c r="BL20" s="15">
        <f t="shared" si="41"/>
        <v>0</v>
      </c>
      <c r="BM20" s="15">
        <f t="shared" si="42"/>
        <v>0</v>
      </c>
      <c r="BN20" s="15">
        <f t="shared" si="43"/>
        <v>0</v>
      </c>
      <c r="BO20" s="15">
        <f t="shared" si="44"/>
        <v>0</v>
      </c>
      <c r="BP20" s="15">
        <f t="shared" si="45"/>
        <v>0</v>
      </c>
      <c r="BQ20" s="15">
        <f t="shared" si="46"/>
        <v>0</v>
      </c>
      <c r="BR20" s="15">
        <f t="shared" si="47"/>
        <v>0</v>
      </c>
      <c r="BS20" s="15">
        <f t="shared" si="48"/>
        <v>0</v>
      </c>
      <c r="BT20" s="15">
        <f t="shared" si="49"/>
        <v>0</v>
      </c>
      <c r="BU20" s="15">
        <f t="shared" si="50"/>
        <v>0</v>
      </c>
      <c r="BV20" s="15">
        <f t="shared" si="51"/>
        <v>0</v>
      </c>
      <c r="BW20" s="15">
        <f t="shared" si="52"/>
        <v>0</v>
      </c>
      <c r="BX20" s="15">
        <f t="shared" si="53"/>
        <v>0</v>
      </c>
      <c r="BY20" s="15">
        <f t="shared" si="54"/>
        <v>0</v>
      </c>
      <c r="BZ20" s="15">
        <f t="shared" si="55"/>
        <v>0</v>
      </c>
      <c r="CA20" s="15">
        <f t="shared" si="56"/>
        <v>0</v>
      </c>
      <c r="CB20" s="15">
        <f t="shared" si="57"/>
        <v>0</v>
      </c>
      <c r="CC20" s="15">
        <f t="shared" si="58"/>
        <v>0</v>
      </c>
      <c r="CD20" s="15">
        <f t="shared" si="59"/>
        <v>0</v>
      </c>
      <c r="CE20" s="15">
        <f t="shared" si="60"/>
        <v>0</v>
      </c>
      <c r="CF20" s="15">
        <f t="shared" si="61"/>
        <v>0</v>
      </c>
      <c r="CG20" s="15">
        <f t="shared" si="60"/>
        <v>0</v>
      </c>
      <c r="CH20" s="15">
        <f t="shared" si="62"/>
        <v>0</v>
      </c>
      <c r="CI20" s="15">
        <f t="shared" si="60"/>
        <v>0</v>
      </c>
      <c r="CJ20" s="15">
        <f t="shared" si="63"/>
        <v>0</v>
      </c>
      <c r="CK20" s="15">
        <f t="shared" si="60"/>
        <v>0</v>
      </c>
      <c r="CL20" s="15">
        <f t="shared" si="64"/>
        <v>0</v>
      </c>
      <c r="CM20" s="15">
        <f t="shared" si="60"/>
        <v>0</v>
      </c>
      <c r="CN20" s="15">
        <f t="shared" si="68"/>
        <v>0</v>
      </c>
      <c r="CO20" s="15">
        <f t="shared" si="60"/>
        <v>0</v>
      </c>
      <c r="CP20" s="15">
        <f t="shared" si="69"/>
        <v>0</v>
      </c>
      <c r="CQ20" s="15">
        <f t="shared" si="60"/>
        <v>0</v>
      </c>
      <c r="CR20" s="15">
        <f t="shared" si="70"/>
        <v>0</v>
      </c>
      <c r="CS20" s="2">
        <f t="shared" si="71"/>
        <v>4</v>
      </c>
      <c r="CT20" s="2">
        <f>IFERROR((VLOOKUP(A20,'Quad-Tech'!$F$1:$G$17,2,FALSE)),0)</f>
        <v>0</v>
      </c>
    </row>
    <row r="21" spans="1:98" ht="20.25" customHeight="1">
      <c r="A21" s="91">
        <f t="shared" si="72"/>
        <v>44998</v>
      </c>
      <c r="B21" s="92"/>
      <c r="C21" s="93"/>
      <c r="D21" s="41" t="str">
        <f>VLOOKUP(A21,'Quad-Tech'!A14:B378,2,FALSE)</f>
        <v>Mon</v>
      </c>
      <c r="E21" s="94" t="s">
        <v>157</v>
      </c>
      <c r="F21" s="95"/>
      <c r="G21" s="96"/>
      <c r="H21" s="74"/>
      <c r="I21" s="73"/>
      <c r="J21" s="94" t="s">
        <v>157</v>
      </c>
      <c r="K21" s="95"/>
      <c r="L21" s="95"/>
      <c r="M21" s="96"/>
      <c r="N21" s="33"/>
      <c r="O21" s="34"/>
      <c r="P21" s="32"/>
      <c r="Q21" s="16">
        <f t="shared" si="65"/>
        <v>0</v>
      </c>
      <c r="R21" s="15">
        <f t="shared" si="66"/>
        <v>0</v>
      </c>
      <c r="S21" s="15">
        <f t="shared" si="0"/>
        <v>0</v>
      </c>
      <c r="T21" s="15">
        <f t="shared" si="1"/>
        <v>0</v>
      </c>
      <c r="U21" s="15">
        <f t="shared" si="2"/>
        <v>0</v>
      </c>
      <c r="V21" s="15">
        <f t="shared" si="3"/>
        <v>0</v>
      </c>
      <c r="W21" s="15">
        <f t="shared" si="4"/>
        <v>0</v>
      </c>
      <c r="X21" s="15">
        <f t="shared" si="5"/>
        <v>0</v>
      </c>
      <c r="Y21" s="15">
        <f t="shared" si="4"/>
        <v>0</v>
      </c>
      <c r="Z21" s="15">
        <f t="shared" si="6"/>
        <v>0</v>
      </c>
      <c r="AA21" s="15">
        <f t="shared" si="4"/>
        <v>0</v>
      </c>
      <c r="AB21" s="15">
        <f t="shared" si="7"/>
        <v>0</v>
      </c>
      <c r="AC21" s="15">
        <f t="shared" si="4"/>
        <v>0</v>
      </c>
      <c r="AD21" s="15">
        <f t="shared" si="67"/>
        <v>0</v>
      </c>
      <c r="AE21" s="15">
        <f t="shared" si="8"/>
        <v>0</v>
      </c>
      <c r="AF21" s="15">
        <f t="shared" si="9"/>
        <v>0</v>
      </c>
      <c r="AG21" s="15">
        <f t="shared" si="10"/>
        <v>1</v>
      </c>
      <c r="AH21" s="15">
        <f t="shared" si="11"/>
        <v>1</v>
      </c>
      <c r="AI21" s="15">
        <f t="shared" si="12"/>
        <v>0</v>
      </c>
      <c r="AJ21" s="15">
        <f t="shared" si="13"/>
        <v>0</v>
      </c>
      <c r="AK21" s="15">
        <f t="shared" si="14"/>
        <v>0</v>
      </c>
      <c r="AL21" s="15">
        <f t="shared" si="15"/>
        <v>0</v>
      </c>
      <c r="AM21" s="15">
        <f t="shared" si="16"/>
        <v>0</v>
      </c>
      <c r="AN21" s="15">
        <f t="shared" si="17"/>
        <v>0</v>
      </c>
      <c r="AO21" s="15">
        <f t="shared" si="18"/>
        <v>0</v>
      </c>
      <c r="AP21" s="15">
        <f t="shared" si="19"/>
        <v>0</v>
      </c>
      <c r="AQ21" s="15">
        <f t="shared" si="20"/>
        <v>0</v>
      </c>
      <c r="AR21" s="15">
        <f t="shared" si="21"/>
        <v>0</v>
      </c>
      <c r="AS21" s="15">
        <f t="shared" si="22"/>
        <v>0</v>
      </c>
      <c r="AT21" s="15">
        <f t="shared" si="23"/>
        <v>0</v>
      </c>
      <c r="AU21" s="15">
        <f t="shared" si="24"/>
        <v>0</v>
      </c>
      <c r="AV21" s="15">
        <f t="shared" si="25"/>
        <v>0</v>
      </c>
      <c r="AW21" s="15">
        <f t="shared" si="26"/>
        <v>0</v>
      </c>
      <c r="AX21" s="15">
        <f t="shared" si="27"/>
        <v>0</v>
      </c>
      <c r="AY21" s="15">
        <f t="shared" si="28"/>
        <v>0</v>
      </c>
      <c r="AZ21" s="15">
        <f t="shared" si="29"/>
        <v>0</v>
      </c>
      <c r="BA21" s="15">
        <f t="shared" si="30"/>
        <v>0</v>
      </c>
      <c r="BB21" s="15">
        <f t="shared" si="31"/>
        <v>0</v>
      </c>
      <c r="BC21" s="15">
        <f t="shared" si="32"/>
        <v>0</v>
      </c>
      <c r="BD21" s="15">
        <f t="shared" si="33"/>
        <v>0</v>
      </c>
      <c r="BE21" s="15">
        <f t="shared" si="34"/>
        <v>0</v>
      </c>
      <c r="BF21" s="15">
        <f t="shared" si="35"/>
        <v>0</v>
      </c>
      <c r="BG21" s="15">
        <f t="shared" si="36"/>
        <v>0</v>
      </c>
      <c r="BH21" s="15">
        <f t="shared" si="37"/>
        <v>0</v>
      </c>
      <c r="BI21" s="15">
        <f t="shared" si="38"/>
        <v>0</v>
      </c>
      <c r="BJ21" s="15">
        <f t="shared" si="39"/>
        <v>0</v>
      </c>
      <c r="BK21" s="15">
        <f t="shared" si="40"/>
        <v>0</v>
      </c>
      <c r="BL21" s="15">
        <f t="shared" si="41"/>
        <v>0</v>
      </c>
      <c r="BM21" s="15">
        <f t="shared" si="42"/>
        <v>0</v>
      </c>
      <c r="BN21" s="15">
        <f t="shared" si="43"/>
        <v>0</v>
      </c>
      <c r="BO21" s="15">
        <f t="shared" si="44"/>
        <v>0</v>
      </c>
      <c r="BP21" s="15">
        <f t="shared" si="45"/>
        <v>0</v>
      </c>
      <c r="BQ21" s="15">
        <f t="shared" si="46"/>
        <v>0</v>
      </c>
      <c r="BR21" s="15">
        <f t="shared" si="47"/>
        <v>0</v>
      </c>
      <c r="BS21" s="15">
        <f t="shared" si="48"/>
        <v>0</v>
      </c>
      <c r="BT21" s="15">
        <f t="shared" si="49"/>
        <v>0</v>
      </c>
      <c r="BU21" s="15">
        <f t="shared" si="50"/>
        <v>0</v>
      </c>
      <c r="BV21" s="15">
        <f t="shared" si="51"/>
        <v>0</v>
      </c>
      <c r="BW21" s="15">
        <f t="shared" si="52"/>
        <v>0</v>
      </c>
      <c r="BX21" s="15">
        <f t="shared" si="53"/>
        <v>0</v>
      </c>
      <c r="BY21" s="15">
        <f t="shared" si="54"/>
        <v>0</v>
      </c>
      <c r="BZ21" s="15">
        <f t="shared" si="55"/>
        <v>0</v>
      </c>
      <c r="CA21" s="15">
        <f t="shared" si="56"/>
        <v>0</v>
      </c>
      <c r="CB21" s="15">
        <f t="shared" si="57"/>
        <v>0</v>
      </c>
      <c r="CC21" s="15">
        <f t="shared" si="58"/>
        <v>0</v>
      </c>
      <c r="CD21" s="15">
        <f t="shared" si="59"/>
        <v>0</v>
      </c>
      <c r="CE21" s="15">
        <f t="shared" si="60"/>
        <v>0</v>
      </c>
      <c r="CF21" s="15">
        <f t="shared" si="61"/>
        <v>0</v>
      </c>
      <c r="CG21" s="15">
        <f t="shared" si="60"/>
        <v>0</v>
      </c>
      <c r="CH21" s="15">
        <f t="shared" si="62"/>
        <v>0</v>
      </c>
      <c r="CI21" s="15">
        <f t="shared" si="60"/>
        <v>0</v>
      </c>
      <c r="CJ21" s="15">
        <f t="shared" si="63"/>
        <v>0</v>
      </c>
      <c r="CK21" s="15">
        <f t="shared" si="60"/>
        <v>0</v>
      </c>
      <c r="CL21" s="15">
        <f t="shared" si="64"/>
        <v>0</v>
      </c>
      <c r="CM21" s="15">
        <f t="shared" si="60"/>
        <v>0</v>
      </c>
      <c r="CN21" s="15">
        <f t="shared" si="68"/>
        <v>0</v>
      </c>
      <c r="CO21" s="15">
        <f t="shared" si="60"/>
        <v>0</v>
      </c>
      <c r="CP21" s="15">
        <f t="shared" si="69"/>
        <v>0</v>
      </c>
      <c r="CQ21" s="15">
        <f t="shared" si="60"/>
        <v>0</v>
      </c>
      <c r="CR21" s="15">
        <f t="shared" si="70"/>
        <v>0</v>
      </c>
      <c r="CS21" s="2">
        <f t="shared" si="71"/>
        <v>4</v>
      </c>
      <c r="CT21" s="2">
        <f>IFERROR((VLOOKUP(A21,'Quad-Tech'!$F$1:$G$17,2,FALSE)),0)</f>
        <v>0</v>
      </c>
    </row>
    <row r="22" spans="1:98" ht="20.25" customHeight="1">
      <c r="A22" s="91">
        <f t="shared" si="72"/>
        <v>44999</v>
      </c>
      <c r="B22" s="92"/>
      <c r="C22" s="93"/>
      <c r="D22" s="41" t="str">
        <f>VLOOKUP(A22,'Quad-Tech'!A15:B379,2,FALSE)</f>
        <v>Tue</v>
      </c>
      <c r="E22" s="94" t="s">
        <v>157</v>
      </c>
      <c r="F22" s="95"/>
      <c r="G22" s="96"/>
      <c r="H22" s="74"/>
      <c r="I22" s="73"/>
      <c r="J22" s="94" t="s">
        <v>157</v>
      </c>
      <c r="K22" s="95"/>
      <c r="L22" s="95"/>
      <c r="M22" s="96"/>
      <c r="N22" s="33"/>
      <c r="O22" s="34"/>
      <c r="P22" s="32"/>
      <c r="Q22" s="16">
        <f t="shared" si="65"/>
        <v>0</v>
      </c>
      <c r="R22" s="15">
        <f t="shared" si="66"/>
        <v>0</v>
      </c>
      <c r="S22" s="15">
        <f t="shared" si="0"/>
        <v>0</v>
      </c>
      <c r="T22" s="15">
        <f t="shared" si="1"/>
        <v>0</v>
      </c>
      <c r="U22" s="15">
        <f t="shared" si="2"/>
        <v>0</v>
      </c>
      <c r="V22" s="15">
        <f t="shared" si="3"/>
        <v>0</v>
      </c>
      <c r="W22" s="15">
        <f t="shared" si="4"/>
        <v>0</v>
      </c>
      <c r="X22" s="15">
        <f t="shared" si="5"/>
        <v>0</v>
      </c>
      <c r="Y22" s="15">
        <f t="shared" si="4"/>
        <v>0</v>
      </c>
      <c r="Z22" s="15">
        <f t="shared" si="6"/>
        <v>0</v>
      </c>
      <c r="AA22" s="15">
        <f t="shared" si="4"/>
        <v>0</v>
      </c>
      <c r="AB22" s="15">
        <f t="shared" si="7"/>
        <v>0</v>
      </c>
      <c r="AC22" s="15">
        <f t="shared" si="4"/>
        <v>0</v>
      </c>
      <c r="AD22" s="15">
        <f t="shared" si="67"/>
        <v>0</v>
      </c>
      <c r="AE22" s="15">
        <f t="shared" si="8"/>
        <v>0</v>
      </c>
      <c r="AF22" s="15">
        <f t="shared" si="9"/>
        <v>0</v>
      </c>
      <c r="AG22" s="15">
        <f t="shared" si="10"/>
        <v>1</v>
      </c>
      <c r="AH22" s="15">
        <f t="shared" si="11"/>
        <v>1</v>
      </c>
      <c r="AI22" s="15">
        <f t="shared" si="12"/>
        <v>0</v>
      </c>
      <c r="AJ22" s="15">
        <f t="shared" si="13"/>
        <v>0</v>
      </c>
      <c r="AK22" s="15">
        <f t="shared" si="14"/>
        <v>0</v>
      </c>
      <c r="AL22" s="15">
        <f t="shared" si="15"/>
        <v>0</v>
      </c>
      <c r="AM22" s="15">
        <f t="shared" si="16"/>
        <v>0</v>
      </c>
      <c r="AN22" s="15">
        <f t="shared" si="17"/>
        <v>0</v>
      </c>
      <c r="AO22" s="15">
        <f t="shared" si="18"/>
        <v>0</v>
      </c>
      <c r="AP22" s="15">
        <f t="shared" si="19"/>
        <v>0</v>
      </c>
      <c r="AQ22" s="15">
        <f t="shared" si="20"/>
        <v>0</v>
      </c>
      <c r="AR22" s="15">
        <f t="shared" si="21"/>
        <v>0</v>
      </c>
      <c r="AS22" s="15">
        <f t="shared" si="22"/>
        <v>0</v>
      </c>
      <c r="AT22" s="15">
        <f t="shared" si="23"/>
        <v>0</v>
      </c>
      <c r="AU22" s="15">
        <f t="shared" si="24"/>
        <v>0</v>
      </c>
      <c r="AV22" s="15">
        <f t="shared" si="25"/>
        <v>0</v>
      </c>
      <c r="AW22" s="15">
        <f t="shared" si="26"/>
        <v>0</v>
      </c>
      <c r="AX22" s="15">
        <f t="shared" si="27"/>
        <v>0</v>
      </c>
      <c r="AY22" s="15">
        <f t="shared" si="28"/>
        <v>0</v>
      </c>
      <c r="AZ22" s="15">
        <f t="shared" si="29"/>
        <v>0</v>
      </c>
      <c r="BA22" s="15">
        <f t="shared" si="30"/>
        <v>0</v>
      </c>
      <c r="BB22" s="15">
        <f t="shared" si="31"/>
        <v>0</v>
      </c>
      <c r="BC22" s="15">
        <f t="shared" si="32"/>
        <v>0</v>
      </c>
      <c r="BD22" s="15">
        <f t="shared" si="33"/>
        <v>0</v>
      </c>
      <c r="BE22" s="15">
        <f t="shared" si="34"/>
        <v>0</v>
      </c>
      <c r="BF22" s="15">
        <f t="shared" si="35"/>
        <v>0</v>
      </c>
      <c r="BG22" s="15">
        <f t="shared" si="36"/>
        <v>0</v>
      </c>
      <c r="BH22" s="15">
        <f t="shared" si="37"/>
        <v>0</v>
      </c>
      <c r="BI22" s="15">
        <f t="shared" si="38"/>
        <v>0</v>
      </c>
      <c r="BJ22" s="15">
        <f t="shared" si="39"/>
        <v>0</v>
      </c>
      <c r="BK22" s="15">
        <f t="shared" si="40"/>
        <v>0</v>
      </c>
      <c r="BL22" s="15">
        <f t="shared" si="41"/>
        <v>0</v>
      </c>
      <c r="BM22" s="15">
        <f t="shared" si="42"/>
        <v>0</v>
      </c>
      <c r="BN22" s="15">
        <f t="shared" si="43"/>
        <v>0</v>
      </c>
      <c r="BO22" s="15">
        <f t="shared" si="44"/>
        <v>0</v>
      </c>
      <c r="BP22" s="15">
        <f t="shared" si="45"/>
        <v>0</v>
      </c>
      <c r="BQ22" s="15">
        <f t="shared" si="46"/>
        <v>0</v>
      </c>
      <c r="BR22" s="15">
        <f t="shared" si="47"/>
        <v>0</v>
      </c>
      <c r="BS22" s="15">
        <f t="shared" si="48"/>
        <v>0</v>
      </c>
      <c r="BT22" s="15">
        <f t="shared" si="49"/>
        <v>0</v>
      </c>
      <c r="BU22" s="15">
        <f t="shared" si="50"/>
        <v>0</v>
      </c>
      <c r="BV22" s="15">
        <f t="shared" si="51"/>
        <v>0</v>
      </c>
      <c r="BW22" s="15">
        <f t="shared" si="52"/>
        <v>0</v>
      </c>
      <c r="BX22" s="15">
        <f t="shared" si="53"/>
        <v>0</v>
      </c>
      <c r="BY22" s="15">
        <f t="shared" si="54"/>
        <v>0</v>
      </c>
      <c r="BZ22" s="15">
        <f t="shared" si="55"/>
        <v>0</v>
      </c>
      <c r="CA22" s="15">
        <f t="shared" si="56"/>
        <v>0</v>
      </c>
      <c r="CB22" s="15">
        <f t="shared" si="57"/>
        <v>0</v>
      </c>
      <c r="CC22" s="15">
        <f t="shared" si="58"/>
        <v>0</v>
      </c>
      <c r="CD22" s="15">
        <f t="shared" si="59"/>
        <v>0</v>
      </c>
      <c r="CE22" s="15">
        <f t="shared" si="60"/>
        <v>0</v>
      </c>
      <c r="CF22" s="15">
        <f t="shared" si="61"/>
        <v>0</v>
      </c>
      <c r="CG22" s="15">
        <f t="shared" si="60"/>
        <v>0</v>
      </c>
      <c r="CH22" s="15">
        <f t="shared" si="62"/>
        <v>0</v>
      </c>
      <c r="CI22" s="15">
        <f t="shared" si="60"/>
        <v>0</v>
      </c>
      <c r="CJ22" s="15">
        <f t="shared" si="63"/>
        <v>0</v>
      </c>
      <c r="CK22" s="15">
        <f t="shared" si="60"/>
        <v>0</v>
      </c>
      <c r="CL22" s="15">
        <f t="shared" si="64"/>
        <v>0</v>
      </c>
      <c r="CM22" s="15">
        <f t="shared" si="60"/>
        <v>0</v>
      </c>
      <c r="CN22" s="15">
        <f t="shared" si="68"/>
        <v>0</v>
      </c>
      <c r="CO22" s="15">
        <f t="shared" si="60"/>
        <v>0</v>
      </c>
      <c r="CP22" s="15">
        <f t="shared" si="69"/>
        <v>0</v>
      </c>
      <c r="CQ22" s="15">
        <f t="shared" si="60"/>
        <v>0</v>
      </c>
      <c r="CR22" s="15">
        <f t="shared" si="70"/>
        <v>0</v>
      </c>
      <c r="CS22" s="2">
        <f t="shared" si="71"/>
        <v>4</v>
      </c>
      <c r="CT22" s="2">
        <f>IFERROR((VLOOKUP(A22,'Quad-Tech'!$F$1:$G$17,2,FALSE)),0)</f>
        <v>0</v>
      </c>
    </row>
    <row r="23" spans="1:98" ht="20.25" customHeight="1">
      <c r="A23" s="91">
        <f t="shared" si="72"/>
        <v>45000</v>
      </c>
      <c r="B23" s="92"/>
      <c r="C23" s="93"/>
      <c r="D23" s="41" t="str">
        <f>VLOOKUP(A23,'Quad-Tech'!A16:B380,2,FALSE)</f>
        <v>Wed</v>
      </c>
      <c r="E23" s="94" t="s">
        <v>157</v>
      </c>
      <c r="F23" s="95"/>
      <c r="G23" s="96"/>
      <c r="H23" s="74"/>
      <c r="I23" s="73"/>
      <c r="J23" s="94" t="s">
        <v>157</v>
      </c>
      <c r="K23" s="95"/>
      <c r="L23" s="95"/>
      <c r="M23" s="96"/>
      <c r="N23" s="33"/>
      <c r="O23" s="34"/>
      <c r="P23" s="32"/>
      <c r="Q23" s="16">
        <f t="shared" si="65"/>
        <v>0</v>
      </c>
      <c r="R23" s="15">
        <f t="shared" si="66"/>
        <v>0</v>
      </c>
      <c r="S23" s="15">
        <f t="shared" si="0"/>
        <v>0</v>
      </c>
      <c r="T23" s="15">
        <f t="shared" si="1"/>
        <v>0</v>
      </c>
      <c r="U23" s="15">
        <f t="shared" si="2"/>
        <v>0</v>
      </c>
      <c r="V23" s="15">
        <f t="shared" si="3"/>
        <v>0</v>
      </c>
      <c r="W23" s="15">
        <f t="shared" si="4"/>
        <v>0</v>
      </c>
      <c r="X23" s="15">
        <f t="shared" si="5"/>
        <v>0</v>
      </c>
      <c r="Y23" s="15">
        <f t="shared" si="4"/>
        <v>0</v>
      </c>
      <c r="Z23" s="15">
        <f t="shared" si="6"/>
        <v>0</v>
      </c>
      <c r="AA23" s="15">
        <f t="shared" si="4"/>
        <v>0</v>
      </c>
      <c r="AB23" s="15">
        <f t="shared" si="7"/>
        <v>0</v>
      </c>
      <c r="AC23" s="15">
        <f t="shared" si="4"/>
        <v>0</v>
      </c>
      <c r="AD23" s="15">
        <f t="shared" si="67"/>
        <v>0</v>
      </c>
      <c r="AE23" s="15">
        <f t="shared" si="8"/>
        <v>0</v>
      </c>
      <c r="AF23" s="15">
        <f t="shared" si="9"/>
        <v>0</v>
      </c>
      <c r="AG23" s="15">
        <f t="shared" si="10"/>
        <v>1</v>
      </c>
      <c r="AH23" s="15">
        <f t="shared" si="11"/>
        <v>1</v>
      </c>
      <c r="AI23" s="15">
        <f t="shared" si="12"/>
        <v>0</v>
      </c>
      <c r="AJ23" s="15">
        <f t="shared" si="13"/>
        <v>0</v>
      </c>
      <c r="AK23" s="15">
        <f t="shared" si="14"/>
        <v>0</v>
      </c>
      <c r="AL23" s="15">
        <f t="shared" si="15"/>
        <v>0</v>
      </c>
      <c r="AM23" s="15">
        <f t="shared" si="16"/>
        <v>0</v>
      </c>
      <c r="AN23" s="15">
        <f t="shared" si="17"/>
        <v>0</v>
      </c>
      <c r="AO23" s="15">
        <f t="shared" si="18"/>
        <v>0</v>
      </c>
      <c r="AP23" s="15">
        <f t="shared" si="19"/>
        <v>0</v>
      </c>
      <c r="AQ23" s="15">
        <f t="shared" si="20"/>
        <v>0</v>
      </c>
      <c r="AR23" s="15">
        <f t="shared" si="21"/>
        <v>0</v>
      </c>
      <c r="AS23" s="15">
        <f t="shared" si="22"/>
        <v>0</v>
      </c>
      <c r="AT23" s="15">
        <f t="shared" si="23"/>
        <v>0</v>
      </c>
      <c r="AU23" s="15">
        <f t="shared" si="24"/>
        <v>0</v>
      </c>
      <c r="AV23" s="15">
        <f t="shared" si="25"/>
        <v>0</v>
      </c>
      <c r="AW23" s="15">
        <f t="shared" si="26"/>
        <v>0</v>
      </c>
      <c r="AX23" s="15">
        <f t="shared" si="27"/>
        <v>0</v>
      </c>
      <c r="AY23" s="15">
        <f t="shared" si="28"/>
        <v>0</v>
      </c>
      <c r="AZ23" s="15">
        <f t="shared" si="29"/>
        <v>0</v>
      </c>
      <c r="BA23" s="15">
        <f t="shared" si="30"/>
        <v>0</v>
      </c>
      <c r="BB23" s="15">
        <f t="shared" si="31"/>
        <v>0</v>
      </c>
      <c r="BC23" s="15">
        <f t="shared" si="32"/>
        <v>0</v>
      </c>
      <c r="BD23" s="15">
        <f t="shared" si="33"/>
        <v>0</v>
      </c>
      <c r="BE23" s="15">
        <f t="shared" si="34"/>
        <v>0</v>
      </c>
      <c r="BF23" s="15">
        <f t="shared" si="35"/>
        <v>0</v>
      </c>
      <c r="BG23" s="15">
        <f t="shared" si="36"/>
        <v>0</v>
      </c>
      <c r="BH23" s="15">
        <f t="shared" si="37"/>
        <v>0</v>
      </c>
      <c r="BI23" s="15">
        <f t="shared" si="38"/>
        <v>0</v>
      </c>
      <c r="BJ23" s="15">
        <f t="shared" si="39"/>
        <v>0</v>
      </c>
      <c r="BK23" s="15">
        <f t="shared" si="40"/>
        <v>0</v>
      </c>
      <c r="BL23" s="15">
        <f t="shared" si="41"/>
        <v>0</v>
      </c>
      <c r="BM23" s="15">
        <f t="shared" si="42"/>
        <v>0</v>
      </c>
      <c r="BN23" s="15">
        <f t="shared" si="43"/>
        <v>0</v>
      </c>
      <c r="BO23" s="15">
        <f t="shared" si="44"/>
        <v>0</v>
      </c>
      <c r="BP23" s="15">
        <f t="shared" si="45"/>
        <v>0</v>
      </c>
      <c r="BQ23" s="15">
        <f t="shared" si="46"/>
        <v>0</v>
      </c>
      <c r="BR23" s="15">
        <f t="shared" si="47"/>
        <v>0</v>
      </c>
      <c r="BS23" s="15">
        <f t="shared" si="48"/>
        <v>0</v>
      </c>
      <c r="BT23" s="15">
        <f t="shared" si="49"/>
        <v>0</v>
      </c>
      <c r="BU23" s="15">
        <f t="shared" si="50"/>
        <v>0</v>
      </c>
      <c r="BV23" s="15">
        <f t="shared" si="51"/>
        <v>0</v>
      </c>
      <c r="BW23" s="15">
        <f t="shared" si="52"/>
        <v>0</v>
      </c>
      <c r="BX23" s="15">
        <f t="shared" si="53"/>
        <v>0</v>
      </c>
      <c r="BY23" s="15">
        <f t="shared" si="54"/>
        <v>0</v>
      </c>
      <c r="BZ23" s="15">
        <f t="shared" si="55"/>
        <v>0</v>
      </c>
      <c r="CA23" s="15">
        <f t="shared" si="56"/>
        <v>0</v>
      </c>
      <c r="CB23" s="15">
        <f t="shared" si="57"/>
        <v>0</v>
      </c>
      <c r="CC23" s="15">
        <f t="shared" si="58"/>
        <v>0</v>
      </c>
      <c r="CD23" s="15">
        <f t="shared" si="59"/>
        <v>0</v>
      </c>
      <c r="CE23" s="15">
        <f t="shared" si="60"/>
        <v>0</v>
      </c>
      <c r="CF23" s="15">
        <f t="shared" si="61"/>
        <v>0</v>
      </c>
      <c r="CG23" s="15">
        <f t="shared" si="60"/>
        <v>0</v>
      </c>
      <c r="CH23" s="15">
        <f t="shared" si="62"/>
        <v>0</v>
      </c>
      <c r="CI23" s="15">
        <f t="shared" si="60"/>
        <v>0</v>
      </c>
      <c r="CJ23" s="15">
        <f t="shared" si="63"/>
        <v>0</v>
      </c>
      <c r="CK23" s="15">
        <f t="shared" si="60"/>
        <v>0</v>
      </c>
      <c r="CL23" s="15">
        <f t="shared" si="64"/>
        <v>0</v>
      </c>
      <c r="CM23" s="15">
        <f t="shared" si="60"/>
        <v>0</v>
      </c>
      <c r="CN23" s="15">
        <f t="shared" si="68"/>
        <v>0</v>
      </c>
      <c r="CO23" s="15">
        <f t="shared" si="60"/>
        <v>0</v>
      </c>
      <c r="CP23" s="15">
        <f t="shared" si="69"/>
        <v>0</v>
      </c>
      <c r="CQ23" s="15">
        <f t="shared" si="60"/>
        <v>0</v>
      </c>
      <c r="CR23" s="15">
        <f t="shared" si="70"/>
        <v>0</v>
      </c>
      <c r="CS23" s="2">
        <f t="shared" si="71"/>
        <v>4</v>
      </c>
      <c r="CT23" s="2">
        <f>IFERROR((VLOOKUP(A23,'Quad-Tech'!$F$1:$G$17,2,FALSE)),0)</f>
        <v>0</v>
      </c>
    </row>
    <row r="24" spans="1:98" ht="20.25" customHeight="1">
      <c r="A24" s="91">
        <f t="shared" si="72"/>
        <v>45001</v>
      </c>
      <c r="B24" s="92"/>
      <c r="C24" s="93"/>
      <c r="D24" s="41" t="str">
        <f>VLOOKUP(A24,'Quad-Tech'!A17:B381,2,FALSE)</f>
        <v>Thu</v>
      </c>
      <c r="E24" s="94" t="s">
        <v>157</v>
      </c>
      <c r="F24" s="95"/>
      <c r="G24" s="96"/>
      <c r="H24" s="74"/>
      <c r="I24" s="73"/>
      <c r="J24" s="94" t="s">
        <v>157</v>
      </c>
      <c r="K24" s="95"/>
      <c r="L24" s="95"/>
      <c r="M24" s="96"/>
      <c r="N24" s="33"/>
      <c r="O24" s="34"/>
      <c r="P24" s="32"/>
      <c r="Q24" s="16">
        <f t="shared" si="65"/>
        <v>0</v>
      </c>
      <c r="R24" s="15">
        <f t="shared" si="66"/>
        <v>0</v>
      </c>
      <c r="S24" s="15">
        <f t="shared" si="0"/>
        <v>0</v>
      </c>
      <c r="T24" s="15">
        <f t="shared" si="1"/>
        <v>0</v>
      </c>
      <c r="U24" s="15">
        <f t="shared" si="2"/>
        <v>0</v>
      </c>
      <c r="V24" s="15">
        <f t="shared" si="3"/>
        <v>0</v>
      </c>
      <c r="W24" s="15">
        <f t="shared" si="4"/>
        <v>0</v>
      </c>
      <c r="X24" s="15">
        <f t="shared" si="5"/>
        <v>0</v>
      </c>
      <c r="Y24" s="15">
        <f t="shared" si="4"/>
        <v>0</v>
      </c>
      <c r="Z24" s="15">
        <f t="shared" si="6"/>
        <v>0</v>
      </c>
      <c r="AA24" s="15">
        <f t="shared" si="4"/>
        <v>0</v>
      </c>
      <c r="AB24" s="15">
        <f t="shared" si="7"/>
        <v>0</v>
      </c>
      <c r="AC24" s="15">
        <f t="shared" si="4"/>
        <v>0</v>
      </c>
      <c r="AD24" s="15">
        <f t="shared" si="67"/>
        <v>0</v>
      </c>
      <c r="AE24" s="15">
        <f t="shared" si="8"/>
        <v>0</v>
      </c>
      <c r="AF24" s="15">
        <f t="shared" si="9"/>
        <v>0</v>
      </c>
      <c r="AG24" s="15">
        <f t="shared" si="10"/>
        <v>1</v>
      </c>
      <c r="AH24" s="15">
        <f t="shared" si="11"/>
        <v>1</v>
      </c>
      <c r="AI24" s="15">
        <f t="shared" si="12"/>
        <v>0</v>
      </c>
      <c r="AJ24" s="15">
        <f t="shared" si="13"/>
        <v>0</v>
      </c>
      <c r="AK24" s="15">
        <f t="shared" si="14"/>
        <v>0</v>
      </c>
      <c r="AL24" s="15">
        <f t="shared" si="15"/>
        <v>0</v>
      </c>
      <c r="AM24" s="15">
        <f t="shared" si="16"/>
        <v>0</v>
      </c>
      <c r="AN24" s="15">
        <f t="shared" si="17"/>
        <v>0</v>
      </c>
      <c r="AO24" s="15">
        <f t="shared" si="18"/>
        <v>0</v>
      </c>
      <c r="AP24" s="15">
        <f t="shared" si="19"/>
        <v>0</v>
      </c>
      <c r="AQ24" s="15">
        <f t="shared" si="20"/>
        <v>0</v>
      </c>
      <c r="AR24" s="15">
        <f t="shared" si="21"/>
        <v>0</v>
      </c>
      <c r="AS24" s="15">
        <f t="shared" si="22"/>
        <v>0</v>
      </c>
      <c r="AT24" s="15">
        <f t="shared" si="23"/>
        <v>0</v>
      </c>
      <c r="AU24" s="15">
        <f t="shared" si="24"/>
        <v>0</v>
      </c>
      <c r="AV24" s="15">
        <f t="shared" si="25"/>
        <v>0</v>
      </c>
      <c r="AW24" s="15">
        <f t="shared" si="26"/>
        <v>0</v>
      </c>
      <c r="AX24" s="15">
        <f t="shared" si="27"/>
        <v>0</v>
      </c>
      <c r="AY24" s="15">
        <f t="shared" si="28"/>
        <v>0</v>
      </c>
      <c r="AZ24" s="15">
        <f t="shared" si="29"/>
        <v>0</v>
      </c>
      <c r="BA24" s="15">
        <f t="shared" si="30"/>
        <v>0</v>
      </c>
      <c r="BB24" s="15">
        <f t="shared" si="31"/>
        <v>0</v>
      </c>
      <c r="BC24" s="15">
        <f t="shared" si="32"/>
        <v>0</v>
      </c>
      <c r="BD24" s="15">
        <f t="shared" si="33"/>
        <v>0</v>
      </c>
      <c r="BE24" s="15">
        <f t="shared" si="34"/>
        <v>0</v>
      </c>
      <c r="BF24" s="15">
        <f t="shared" si="35"/>
        <v>0</v>
      </c>
      <c r="BG24" s="15">
        <f t="shared" si="36"/>
        <v>0</v>
      </c>
      <c r="BH24" s="15">
        <f t="shared" si="37"/>
        <v>0</v>
      </c>
      <c r="BI24" s="15">
        <f t="shared" si="38"/>
        <v>0</v>
      </c>
      <c r="BJ24" s="15">
        <f t="shared" si="39"/>
        <v>0</v>
      </c>
      <c r="BK24" s="15">
        <f t="shared" si="40"/>
        <v>0</v>
      </c>
      <c r="BL24" s="15">
        <f t="shared" si="41"/>
        <v>0</v>
      </c>
      <c r="BM24" s="15">
        <f t="shared" si="42"/>
        <v>0</v>
      </c>
      <c r="BN24" s="15">
        <f t="shared" si="43"/>
        <v>0</v>
      </c>
      <c r="BO24" s="15">
        <f t="shared" si="44"/>
        <v>0</v>
      </c>
      <c r="BP24" s="15">
        <f t="shared" si="45"/>
        <v>0</v>
      </c>
      <c r="BQ24" s="15">
        <f t="shared" si="46"/>
        <v>0</v>
      </c>
      <c r="BR24" s="15">
        <f t="shared" si="47"/>
        <v>0</v>
      </c>
      <c r="BS24" s="15">
        <f t="shared" si="48"/>
        <v>0</v>
      </c>
      <c r="BT24" s="15">
        <f t="shared" si="49"/>
        <v>0</v>
      </c>
      <c r="BU24" s="15">
        <f t="shared" si="50"/>
        <v>0</v>
      </c>
      <c r="BV24" s="15">
        <f t="shared" si="51"/>
        <v>0</v>
      </c>
      <c r="BW24" s="15">
        <f t="shared" si="52"/>
        <v>0</v>
      </c>
      <c r="BX24" s="15">
        <f t="shared" si="53"/>
        <v>0</v>
      </c>
      <c r="BY24" s="15">
        <f t="shared" si="54"/>
        <v>0</v>
      </c>
      <c r="BZ24" s="15">
        <f t="shared" si="55"/>
        <v>0</v>
      </c>
      <c r="CA24" s="15">
        <f t="shared" si="56"/>
        <v>0</v>
      </c>
      <c r="CB24" s="15">
        <f t="shared" si="57"/>
        <v>0</v>
      </c>
      <c r="CC24" s="15">
        <f t="shared" si="58"/>
        <v>0</v>
      </c>
      <c r="CD24" s="15">
        <f t="shared" si="59"/>
        <v>0</v>
      </c>
      <c r="CE24" s="15">
        <f t="shared" si="60"/>
        <v>0</v>
      </c>
      <c r="CF24" s="15">
        <f t="shared" si="61"/>
        <v>0</v>
      </c>
      <c r="CG24" s="15">
        <f t="shared" si="60"/>
        <v>0</v>
      </c>
      <c r="CH24" s="15">
        <f t="shared" si="62"/>
        <v>0</v>
      </c>
      <c r="CI24" s="15">
        <f t="shared" si="60"/>
        <v>0</v>
      </c>
      <c r="CJ24" s="15">
        <f t="shared" si="63"/>
        <v>0</v>
      </c>
      <c r="CK24" s="15">
        <f t="shared" si="60"/>
        <v>0</v>
      </c>
      <c r="CL24" s="15">
        <f t="shared" si="64"/>
        <v>0</v>
      </c>
      <c r="CM24" s="15">
        <f t="shared" si="60"/>
        <v>0</v>
      </c>
      <c r="CN24" s="15">
        <f t="shared" si="68"/>
        <v>0</v>
      </c>
      <c r="CO24" s="15">
        <f t="shared" si="60"/>
        <v>0</v>
      </c>
      <c r="CP24" s="15">
        <f t="shared" si="69"/>
        <v>0</v>
      </c>
      <c r="CQ24" s="15">
        <f t="shared" si="60"/>
        <v>0</v>
      </c>
      <c r="CR24" s="15">
        <f t="shared" si="70"/>
        <v>0</v>
      </c>
      <c r="CS24" s="2">
        <f t="shared" si="71"/>
        <v>4</v>
      </c>
      <c r="CT24" s="2">
        <f>IFERROR((VLOOKUP(A24,'Quad-Tech'!$F$1:$G$17,2,FALSE)),0)</f>
        <v>0</v>
      </c>
    </row>
    <row r="25" spans="1:98" ht="20.25" customHeight="1">
      <c r="A25" s="91">
        <f t="shared" si="72"/>
        <v>45002</v>
      </c>
      <c r="B25" s="92"/>
      <c r="C25" s="93"/>
      <c r="D25" s="41" t="str">
        <f>VLOOKUP(A25,'Quad-Tech'!A18:B382,2,FALSE)</f>
        <v>Fri</v>
      </c>
      <c r="E25" s="94" t="s">
        <v>157</v>
      </c>
      <c r="F25" s="95"/>
      <c r="G25" s="96"/>
      <c r="H25" s="74"/>
      <c r="I25" s="73"/>
      <c r="J25" s="94" t="s">
        <v>157</v>
      </c>
      <c r="K25" s="95"/>
      <c r="L25" s="95"/>
      <c r="M25" s="96"/>
      <c r="N25" s="33"/>
      <c r="O25" s="34"/>
      <c r="P25" s="32"/>
      <c r="Q25" s="16">
        <f t="shared" si="65"/>
        <v>0</v>
      </c>
      <c r="R25" s="15">
        <f t="shared" si="66"/>
        <v>0</v>
      </c>
      <c r="S25" s="15">
        <f t="shared" ref="S25:S39" si="73">IF($E25=S$8,1,0)</f>
        <v>0</v>
      </c>
      <c r="T25" s="15">
        <f t="shared" si="1"/>
        <v>0</v>
      </c>
      <c r="U25" s="15">
        <f t="shared" ref="U25:U39" si="74">IF($E25=U$8,1,0)</f>
        <v>0</v>
      </c>
      <c r="V25" s="15">
        <f t="shared" si="3"/>
        <v>0</v>
      </c>
      <c r="W25" s="15">
        <f t="shared" ref="W25:AA39" si="75">IF($E25=W$8,1,0)</f>
        <v>0</v>
      </c>
      <c r="X25" s="15">
        <f t="shared" si="5"/>
        <v>0</v>
      </c>
      <c r="Y25" s="15">
        <f t="shared" si="75"/>
        <v>0</v>
      </c>
      <c r="Z25" s="15">
        <f t="shared" si="6"/>
        <v>0</v>
      </c>
      <c r="AA25" s="15">
        <f t="shared" si="75"/>
        <v>0</v>
      </c>
      <c r="AB25" s="15">
        <f t="shared" si="7"/>
        <v>0</v>
      </c>
      <c r="AC25" s="15">
        <f t="shared" ref="AC25:AC39" si="76">IF($E25=AC$8,1,0)</f>
        <v>0</v>
      </c>
      <c r="AD25" s="15">
        <f t="shared" si="67"/>
        <v>0</v>
      </c>
      <c r="AE25" s="15">
        <f t="shared" ref="AE25:AE39" si="77">IF($E25=AE$8,1,0)</f>
        <v>0</v>
      </c>
      <c r="AF25" s="15">
        <f t="shared" si="9"/>
        <v>0</v>
      </c>
      <c r="AG25" s="15">
        <f t="shared" ref="AG25:AG39" si="78">IF($E25=AG$8,1,0)</f>
        <v>1</v>
      </c>
      <c r="AH25" s="15">
        <f t="shared" si="11"/>
        <v>1</v>
      </c>
      <c r="AI25" s="15">
        <f t="shared" ref="AI25:AI39" si="79">IF($E25=AI$8,1,0)</f>
        <v>0</v>
      </c>
      <c r="AJ25" s="15">
        <f t="shared" si="13"/>
        <v>0</v>
      </c>
      <c r="AK25" s="15">
        <f t="shared" ref="AK25:AK39" si="80">IF($E25=AK$8,1,0)</f>
        <v>0</v>
      </c>
      <c r="AL25" s="15">
        <f t="shared" si="15"/>
        <v>0</v>
      </c>
      <c r="AM25" s="15">
        <f t="shared" ref="AM25:AM39" si="81">IF($E25=AM$8,1,0)</f>
        <v>0</v>
      </c>
      <c r="AN25" s="15">
        <f t="shared" si="17"/>
        <v>0</v>
      </c>
      <c r="AO25" s="15">
        <f t="shared" ref="AO25:AO39" si="82">IF($E25=AO$8,1,0)</f>
        <v>0</v>
      </c>
      <c r="AP25" s="15">
        <f t="shared" si="19"/>
        <v>0</v>
      </c>
      <c r="AQ25" s="15">
        <f t="shared" ref="AQ25:AQ39" si="83">IF($E25=AQ$8,1,0)</f>
        <v>0</v>
      </c>
      <c r="AR25" s="15">
        <f t="shared" si="21"/>
        <v>0</v>
      </c>
      <c r="AS25" s="15">
        <f t="shared" ref="AS25:AS39" si="84">IF($E25=AS$8,1,0)</f>
        <v>0</v>
      </c>
      <c r="AT25" s="15">
        <f t="shared" si="23"/>
        <v>0</v>
      </c>
      <c r="AU25" s="15">
        <f t="shared" ref="AU25:AU39" si="85">IF($E25=AU$8,1,0)</f>
        <v>0</v>
      </c>
      <c r="AV25" s="15">
        <f t="shared" si="25"/>
        <v>0</v>
      </c>
      <c r="AW25" s="15">
        <f t="shared" ref="AW25:AW39" si="86">IF($E25=AW$8,1,0)</f>
        <v>0</v>
      </c>
      <c r="AX25" s="15">
        <f t="shared" si="27"/>
        <v>0</v>
      </c>
      <c r="AY25" s="15">
        <f t="shared" ref="AY25:AY39" si="87">IF($E25=AY$8,1,0)</f>
        <v>0</v>
      </c>
      <c r="AZ25" s="15">
        <f t="shared" si="29"/>
        <v>0</v>
      </c>
      <c r="BA25" s="15">
        <f t="shared" ref="BA25:BA39" si="88">IF($E25=BA$8,1,0)</f>
        <v>0</v>
      </c>
      <c r="BB25" s="15">
        <f t="shared" si="31"/>
        <v>0</v>
      </c>
      <c r="BC25" s="15">
        <f t="shared" ref="BC25:BC39" si="89">IF($E25=BC$8,1,0)</f>
        <v>0</v>
      </c>
      <c r="BD25" s="15">
        <f t="shared" si="33"/>
        <v>0</v>
      </c>
      <c r="BE25" s="15">
        <f t="shared" ref="BE25:BE39" si="90">IF($E25=BE$8,1,0)</f>
        <v>0</v>
      </c>
      <c r="BF25" s="15">
        <f t="shared" si="35"/>
        <v>0</v>
      </c>
      <c r="BG25" s="15">
        <f t="shared" ref="BG25:BG39" si="91">IF($E25=BG$8,1,0)</f>
        <v>0</v>
      </c>
      <c r="BH25" s="15">
        <f t="shared" si="37"/>
        <v>0</v>
      </c>
      <c r="BI25" s="15">
        <f t="shared" ref="BI25:BI39" si="92">IF($E25=BI$8,1,0)</f>
        <v>0</v>
      </c>
      <c r="BJ25" s="15">
        <f t="shared" si="39"/>
        <v>0</v>
      </c>
      <c r="BK25" s="15">
        <f t="shared" ref="BK25:BK39" si="93">IF($E25=BK$8,1,0)</f>
        <v>0</v>
      </c>
      <c r="BL25" s="15">
        <f t="shared" si="41"/>
        <v>0</v>
      </c>
      <c r="BM25" s="15">
        <f t="shared" ref="BM25:BM39" si="94">IF($E25=BM$8,1,0)</f>
        <v>0</v>
      </c>
      <c r="BN25" s="15">
        <f t="shared" si="43"/>
        <v>0</v>
      </c>
      <c r="BO25" s="15">
        <f t="shared" si="44"/>
        <v>0</v>
      </c>
      <c r="BP25" s="15">
        <f t="shared" si="45"/>
        <v>0</v>
      </c>
      <c r="BQ25" s="15">
        <f t="shared" si="46"/>
        <v>0</v>
      </c>
      <c r="BR25" s="15">
        <f t="shared" si="47"/>
        <v>0</v>
      </c>
      <c r="BS25" s="15">
        <f t="shared" si="48"/>
        <v>0</v>
      </c>
      <c r="BT25" s="15">
        <f t="shared" si="49"/>
        <v>0</v>
      </c>
      <c r="BU25" s="15">
        <f t="shared" si="50"/>
        <v>0</v>
      </c>
      <c r="BV25" s="15">
        <f t="shared" si="51"/>
        <v>0</v>
      </c>
      <c r="BW25" s="15">
        <f t="shared" si="52"/>
        <v>0</v>
      </c>
      <c r="BX25" s="15">
        <f t="shared" si="53"/>
        <v>0</v>
      </c>
      <c r="BY25" s="15">
        <f t="shared" si="54"/>
        <v>0</v>
      </c>
      <c r="BZ25" s="15">
        <f t="shared" si="55"/>
        <v>0</v>
      </c>
      <c r="CA25" s="15">
        <f t="shared" si="56"/>
        <v>0</v>
      </c>
      <c r="CB25" s="15">
        <f t="shared" si="57"/>
        <v>0</v>
      </c>
      <c r="CC25" s="15">
        <f t="shared" si="58"/>
        <v>0</v>
      </c>
      <c r="CD25" s="15">
        <f t="shared" si="59"/>
        <v>0</v>
      </c>
      <c r="CE25" s="15">
        <f t="shared" si="60"/>
        <v>0</v>
      </c>
      <c r="CF25" s="15">
        <f t="shared" si="61"/>
        <v>0</v>
      </c>
      <c r="CG25" s="15">
        <f t="shared" si="60"/>
        <v>0</v>
      </c>
      <c r="CH25" s="15">
        <f t="shared" si="62"/>
        <v>0</v>
      </c>
      <c r="CI25" s="15">
        <f t="shared" si="60"/>
        <v>0</v>
      </c>
      <c r="CJ25" s="15">
        <f t="shared" si="63"/>
        <v>0</v>
      </c>
      <c r="CK25" s="15">
        <f t="shared" si="60"/>
        <v>0</v>
      </c>
      <c r="CL25" s="15">
        <f t="shared" si="64"/>
        <v>0</v>
      </c>
      <c r="CM25" s="15">
        <f t="shared" si="60"/>
        <v>0</v>
      </c>
      <c r="CN25" s="15">
        <f t="shared" si="68"/>
        <v>0</v>
      </c>
      <c r="CO25" s="15">
        <f t="shared" si="60"/>
        <v>0</v>
      </c>
      <c r="CP25" s="15">
        <f t="shared" si="69"/>
        <v>0</v>
      </c>
      <c r="CQ25" s="15">
        <f t="shared" si="60"/>
        <v>0</v>
      </c>
      <c r="CR25" s="15">
        <f t="shared" si="70"/>
        <v>0</v>
      </c>
      <c r="CS25" s="2">
        <f t="shared" si="71"/>
        <v>4</v>
      </c>
      <c r="CT25" s="2">
        <f>IFERROR((VLOOKUP(A25,'Quad-Tech'!$F$1:$G$17,2,FALSE)),0)</f>
        <v>0</v>
      </c>
    </row>
    <row r="26" spans="1:98" ht="20.25" customHeight="1">
      <c r="A26" s="91">
        <f t="shared" si="72"/>
        <v>45003</v>
      </c>
      <c r="B26" s="92"/>
      <c r="C26" s="93"/>
      <c r="D26" s="41" t="str">
        <f>VLOOKUP(A26,'Quad-Tech'!A19:B383,2,FALSE)</f>
        <v>Sat</v>
      </c>
      <c r="E26" s="94" t="s">
        <v>174</v>
      </c>
      <c r="F26" s="95"/>
      <c r="G26" s="96"/>
      <c r="H26" s="74"/>
      <c r="I26" s="73"/>
      <c r="J26" s="94" t="s">
        <v>13</v>
      </c>
      <c r="K26" s="95"/>
      <c r="L26" s="95"/>
      <c r="M26" s="96"/>
      <c r="N26" s="33"/>
      <c r="O26" s="34"/>
      <c r="P26" s="32"/>
      <c r="Q26" s="16">
        <f t="shared" si="65"/>
        <v>0</v>
      </c>
      <c r="R26" s="15">
        <f t="shared" si="66"/>
        <v>0</v>
      </c>
      <c r="S26" s="15">
        <f t="shared" si="73"/>
        <v>0</v>
      </c>
      <c r="T26" s="15">
        <f t="shared" si="1"/>
        <v>0</v>
      </c>
      <c r="U26" s="15">
        <f t="shared" si="74"/>
        <v>0</v>
      </c>
      <c r="V26" s="15">
        <f t="shared" si="3"/>
        <v>0</v>
      </c>
      <c r="W26" s="15">
        <f t="shared" si="75"/>
        <v>0</v>
      </c>
      <c r="X26" s="15">
        <f t="shared" si="5"/>
        <v>0</v>
      </c>
      <c r="Y26" s="15">
        <f t="shared" si="75"/>
        <v>0</v>
      </c>
      <c r="Z26" s="15">
        <f t="shared" si="6"/>
        <v>0</v>
      </c>
      <c r="AA26" s="15">
        <f t="shared" si="75"/>
        <v>0</v>
      </c>
      <c r="AB26" s="15">
        <f t="shared" si="7"/>
        <v>1</v>
      </c>
      <c r="AC26" s="15">
        <f t="shared" si="76"/>
        <v>0</v>
      </c>
      <c r="AD26" s="15">
        <f t="shared" si="67"/>
        <v>0</v>
      </c>
      <c r="AE26" s="15">
        <f t="shared" si="77"/>
        <v>0</v>
      </c>
      <c r="AF26" s="15">
        <f t="shared" si="9"/>
        <v>0</v>
      </c>
      <c r="AG26" s="15">
        <f t="shared" si="78"/>
        <v>0</v>
      </c>
      <c r="AH26" s="15">
        <f t="shared" si="11"/>
        <v>0</v>
      </c>
      <c r="AI26" s="15">
        <f t="shared" si="79"/>
        <v>0</v>
      </c>
      <c r="AJ26" s="15">
        <f t="shared" si="13"/>
        <v>0</v>
      </c>
      <c r="AK26" s="15">
        <f t="shared" si="80"/>
        <v>0</v>
      </c>
      <c r="AL26" s="15">
        <f t="shared" si="15"/>
        <v>0</v>
      </c>
      <c r="AM26" s="15">
        <f t="shared" si="81"/>
        <v>0</v>
      </c>
      <c r="AN26" s="15">
        <f t="shared" si="17"/>
        <v>0</v>
      </c>
      <c r="AO26" s="15">
        <f t="shared" si="82"/>
        <v>0</v>
      </c>
      <c r="AP26" s="15">
        <f t="shared" si="19"/>
        <v>0</v>
      </c>
      <c r="AQ26" s="15">
        <f t="shared" si="83"/>
        <v>0</v>
      </c>
      <c r="AR26" s="15">
        <f t="shared" si="21"/>
        <v>0</v>
      </c>
      <c r="AS26" s="15">
        <f t="shared" si="84"/>
        <v>0</v>
      </c>
      <c r="AT26" s="15">
        <f t="shared" si="23"/>
        <v>0</v>
      </c>
      <c r="AU26" s="15">
        <f t="shared" si="85"/>
        <v>0</v>
      </c>
      <c r="AV26" s="15">
        <f t="shared" si="25"/>
        <v>0</v>
      </c>
      <c r="AW26" s="15">
        <f t="shared" si="86"/>
        <v>1</v>
      </c>
      <c r="AX26" s="15">
        <f t="shared" si="27"/>
        <v>0</v>
      </c>
      <c r="AY26" s="15">
        <f t="shared" si="87"/>
        <v>0</v>
      </c>
      <c r="AZ26" s="15">
        <f t="shared" si="29"/>
        <v>0</v>
      </c>
      <c r="BA26" s="15">
        <f t="shared" si="88"/>
        <v>0</v>
      </c>
      <c r="BB26" s="15">
        <f t="shared" si="31"/>
        <v>0</v>
      </c>
      <c r="BC26" s="15">
        <f t="shared" si="89"/>
        <v>0</v>
      </c>
      <c r="BD26" s="15">
        <f t="shared" si="33"/>
        <v>0</v>
      </c>
      <c r="BE26" s="15">
        <f t="shared" si="90"/>
        <v>0</v>
      </c>
      <c r="BF26" s="15">
        <f t="shared" si="35"/>
        <v>0</v>
      </c>
      <c r="BG26" s="15">
        <f t="shared" si="91"/>
        <v>0</v>
      </c>
      <c r="BH26" s="15">
        <f t="shared" si="37"/>
        <v>0</v>
      </c>
      <c r="BI26" s="15">
        <f t="shared" si="92"/>
        <v>0</v>
      </c>
      <c r="BJ26" s="15">
        <f t="shared" si="39"/>
        <v>0</v>
      </c>
      <c r="BK26" s="15">
        <f t="shared" si="93"/>
        <v>0</v>
      </c>
      <c r="BL26" s="15">
        <f t="shared" si="41"/>
        <v>0</v>
      </c>
      <c r="BM26" s="15">
        <f t="shared" si="94"/>
        <v>0</v>
      </c>
      <c r="BN26" s="15">
        <f t="shared" si="43"/>
        <v>0</v>
      </c>
      <c r="BO26" s="15">
        <f t="shared" si="44"/>
        <v>0</v>
      </c>
      <c r="BP26" s="15">
        <f t="shared" si="45"/>
        <v>0</v>
      </c>
      <c r="BQ26" s="15">
        <f t="shared" si="46"/>
        <v>0</v>
      </c>
      <c r="BR26" s="15">
        <f t="shared" si="47"/>
        <v>0</v>
      </c>
      <c r="BS26" s="15">
        <f t="shared" si="48"/>
        <v>0</v>
      </c>
      <c r="BT26" s="15">
        <f t="shared" si="49"/>
        <v>0</v>
      </c>
      <c r="BU26" s="15">
        <f t="shared" si="50"/>
        <v>0</v>
      </c>
      <c r="BV26" s="15">
        <f t="shared" si="51"/>
        <v>0</v>
      </c>
      <c r="BW26" s="15">
        <f t="shared" si="52"/>
        <v>0</v>
      </c>
      <c r="BX26" s="15">
        <f t="shared" si="53"/>
        <v>0</v>
      </c>
      <c r="BY26" s="15">
        <f t="shared" si="54"/>
        <v>0</v>
      </c>
      <c r="BZ26" s="15">
        <f t="shared" si="55"/>
        <v>0</v>
      </c>
      <c r="CA26" s="15">
        <f t="shared" si="56"/>
        <v>0</v>
      </c>
      <c r="CB26" s="15">
        <f t="shared" si="57"/>
        <v>0</v>
      </c>
      <c r="CC26" s="15">
        <f t="shared" si="58"/>
        <v>0</v>
      </c>
      <c r="CD26" s="15">
        <f t="shared" si="59"/>
        <v>0</v>
      </c>
      <c r="CE26" s="15">
        <f t="shared" si="60"/>
        <v>0</v>
      </c>
      <c r="CF26" s="15">
        <f t="shared" si="61"/>
        <v>0</v>
      </c>
      <c r="CG26" s="15">
        <f t="shared" si="60"/>
        <v>0</v>
      </c>
      <c r="CH26" s="15">
        <f t="shared" si="62"/>
        <v>0</v>
      </c>
      <c r="CI26" s="15">
        <f t="shared" si="60"/>
        <v>0</v>
      </c>
      <c r="CJ26" s="15">
        <f t="shared" si="63"/>
        <v>0</v>
      </c>
      <c r="CK26" s="15">
        <f t="shared" si="60"/>
        <v>0</v>
      </c>
      <c r="CL26" s="15">
        <f t="shared" si="64"/>
        <v>0</v>
      </c>
      <c r="CM26" s="15">
        <f t="shared" si="60"/>
        <v>0</v>
      </c>
      <c r="CN26" s="15">
        <f t="shared" si="68"/>
        <v>0</v>
      </c>
      <c r="CO26" s="15">
        <f t="shared" si="60"/>
        <v>0</v>
      </c>
      <c r="CP26" s="15">
        <f t="shared" si="69"/>
        <v>0</v>
      </c>
      <c r="CQ26" s="15">
        <f t="shared" si="60"/>
        <v>0</v>
      </c>
      <c r="CR26" s="15">
        <f t="shared" si="70"/>
        <v>0</v>
      </c>
      <c r="CS26" s="2">
        <f t="shared" si="71"/>
        <v>4</v>
      </c>
      <c r="CT26" s="2">
        <f>IFERROR((VLOOKUP(A26,'Quad-Tech'!$F$1:$G$17,2,FALSE)),0)</f>
        <v>0</v>
      </c>
    </row>
    <row r="27" spans="1:98" ht="20.25" customHeight="1">
      <c r="A27" s="91">
        <f t="shared" si="72"/>
        <v>45004</v>
      </c>
      <c r="B27" s="92"/>
      <c r="C27" s="93"/>
      <c r="D27" s="41" t="str">
        <f>VLOOKUP(A27,'Quad-Tech'!A20:B384,2,FALSE)</f>
        <v>Sun</v>
      </c>
      <c r="E27" s="94" t="s">
        <v>14</v>
      </c>
      <c r="F27" s="95"/>
      <c r="G27" s="96"/>
      <c r="H27" s="74"/>
      <c r="I27" s="73"/>
      <c r="J27" s="94" t="s">
        <v>14</v>
      </c>
      <c r="K27" s="95"/>
      <c r="L27" s="95"/>
      <c r="M27" s="96"/>
      <c r="N27" s="33"/>
      <c r="O27" s="34"/>
      <c r="P27" s="32"/>
      <c r="Q27" s="16">
        <f t="shared" si="65"/>
        <v>0</v>
      </c>
      <c r="R27" s="15">
        <f t="shared" si="66"/>
        <v>0</v>
      </c>
      <c r="S27" s="15">
        <f t="shared" si="73"/>
        <v>1</v>
      </c>
      <c r="T27" s="15">
        <f t="shared" si="1"/>
        <v>1</v>
      </c>
      <c r="U27" s="15">
        <f t="shared" si="74"/>
        <v>0</v>
      </c>
      <c r="V27" s="15">
        <f t="shared" si="3"/>
        <v>0</v>
      </c>
      <c r="W27" s="15">
        <f t="shared" si="75"/>
        <v>0</v>
      </c>
      <c r="X27" s="15">
        <f t="shared" si="5"/>
        <v>0</v>
      </c>
      <c r="Y27" s="15">
        <f t="shared" si="75"/>
        <v>0</v>
      </c>
      <c r="Z27" s="15">
        <f t="shared" si="6"/>
        <v>0</v>
      </c>
      <c r="AA27" s="15">
        <f t="shared" si="75"/>
        <v>0</v>
      </c>
      <c r="AB27" s="15">
        <f t="shared" si="7"/>
        <v>0</v>
      </c>
      <c r="AC27" s="15">
        <f t="shared" si="76"/>
        <v>0</v>
      </c>
      <c r="AD27" s="15">
        <f t="shared" si="67"/>
        <v>0</v>
      </c>
      <c r="AE27" s="15">
        <f t="shared" si="77"/>
        <v>0</v>
      </c>
      <c r="AF27" s="15">
        <f t="shared" si="9"/>
        <v>0</v>
      </c>
      <c r="AG27" s="15">
        <f t="shared" si="78"/>
        <v>0</v>
      </c>
      <c r="AH27" s="15">
        <f t="shared" si="11"/>
        <v>0</v>
      </c>
      <c r="AI27" s="15">
        <f t="shared" si="79"/>
        <v>0</v>
      </c>
      <c r="AJ27" s="15">
        <f t="shared" si="13"/>
        <v>0</v>
      </c>
      <c r="AK27" s="15">
        <f t="shared" si="80"/>
        <v>0</v>
      </c>
      <c r="AL27" s="15">
        <f t="shared" si="15"/>
        <v>0</v>
      </c>
      <c r="AM27" s="15">
        <f t="shared" si="81"/>
        <v>0</v>
      </c>
      <c r="AN27" s="15">
        <f t="shared" si="17"/>
        <v>0</v>
      </c>
      <c r="AO27" s="15">
        <f t="shared" si="82"/>
        <v>0</v>
      </c>
      <c r="AP27" s="15">
        <f t="shared" si="19"/>
        <v>0</v>
      </c>
      <c r="AQ27" s="15">
        <f t="shared" si="83"/>
        <v>0</v>
      </c>
      <c r="AR27" s="15">
        <f t="shared" si="21"/>
        <v>0</v>
      </c>
      <c r="AS27" s="15">
        <f t="shared" si="84"/>
        <v>0</v>
      </c>
      <c r="AT27" s="15">
        <f t="shared" si="23"/>
        <v>0</v>
      </c>
      <c r="AU27" s="15">
        <f t="shared" si="85"/>
        <v>0</v>
      </c>
      <c r="AV27" s="15">
        <f t="shared" si="25"/>
        <v>0</v>
      </c>
      <c r="AW27" s="15">
        <f t="shared" si="86"/>
        <v>0</v>
      </c>
      <c r="AX27" s="15">
        <f t="shared" si="27"/>
        <v>0</v>
      </c>
      <c r="AY27" s="15">
        <f t="shared" si="87"/>
        <v>0</v>
      </c>
      <c r="AZ27" s="15">
        <f t="shared" si="29"/>
        <v>0</v>
      </c>
      <c r="BA27" s="15">
        <f t="shared" si="88"/>
        <v>0</v>
      </c>
      <c r="BB27" s="15">
        <f t="shared" si="31"/>
        <v>0</v>
      </c>
      <c r="BC27" s="15">
        <f t="shared" si="89"/>
        <v>0</v>
      </c>
      <c r="BD27" s="15">
        <f t="shared" si="33"/>
        <v>0</v>
      </c>
      <c r="BE27" s="15">
        <f t="shared" si="90"/>
        <v>0</v>
      </c>
      <c r="BF27" s="15">
        <f t="shared" si="35"/>
        <v>0</v>
      </c>
      <c r="BG27" s="15">
        <f t="shared" si="91"/>
        <v>0</v>
      </c>
      <c r="BH27" s="15">
        <f t="shared" si="37"/>
        <v>0</v>
      </c>
      <c r="BI27" s="15">
        <f t="shared" si="92"/>
        <v>0</v>
      </c>
      <c r="BJ27" s="15">
        <f t="shared" si="39"/>
        <v>0</v>
      </c>
      <c r="BK27" s="15">
        <f t="shared" si="93"/>
        <v>0</v>
      </c>
      <c r="BL27" s="15">
        <f t="shared" si="41"/>
        <v>0</v>
      </c>
      <c r="BM27" s="15">
        <f t="shared" si="94"/>
        <v>0</v>
      </c>
      <c r="BN27" s="15">
        <f t="shared" si="43"/>
        <v>0</v>
      </c>
      <c r="BO27" s="15">
        <f t="shared" si="44"/>
        <v>0</v>
      </c>
      <c r="BP27" s="15">
        <f t="shared" si="45"/>
        <v>0</v>
      </c>
      <c r="BQ27" s="15">
        <f t="shared" si="46"/>
        <v>0</v>
      </c>
      <c r="BR27" s="15">
        <f t="shared" si="47"/>
        <v>0</v>
      </c>
      <c r="BS27" s="15">
        <f t="shared" si="48"/>
        <v>0</v>
      </c>
      <c r="BT27" s="15">
        <f t="shared" si="49"/>
        <v>0</v>
      </c>
      <c r="BU27" s="15">
        <f t="shared" si="50"/>
        <v>0</v>
      </c>
      <c r="BV27" s="15">
        <f t="shared" si="51"/>
        <v>0</v>
      </c>
      <c r="BW27" s="15">
        <f t="shared" si="52"/>
        <v>0</v>
      </c>
      <c r="BX27" s="15">
        <f t="shared" si="53"/>
        <v>0</v>
      </c>
      <c r="BY27" s="15">
        <f t="shared" si="54"/>
        <v>0</v>
      </c>
      <c r="BZ27" s="15">
        <f t="shared" si="55"/>
        <v>0</v>
      </c>
      <c r="CA27" s="15">
        <f t="shared" si="56"/>
        <v>0</v>
      </c>
      <c r="CB27" s="15">
        <f t="shared" si="57"/>
        <v>0</v>
      </c>
      <c r="CC27" s="15">
        <f t="shared" si="58"/>
        <v>0</v>
      </c>
      <c r="CD27" s="15">
        <f t="shared" si="59"/>
        <v>0</v>
      </c>
      <c r="CE27" s="15">
        <f t="shared" si="60"/>
        <v>0</v>
      </c>
      <c r="CF27" s="15">
        <f t="shared" si="61"/>
        <v>0</v>
      </c>
      <c r="CG27" s="15">
        <f t="shared" si="60"/>
        <v>0</v>
      </c>
      <c r="CH27" s="15">
        <f t="shared" si="62"/>
        <v>0</v>
      </c>
      <c r="CI27" s="15">
        <f t="shared" si="60"/>
        <v>0</v>
      </c>
      <c r="CJ27" s="15">
        <f t="shared" si="63"/>
        <v>0</v>
      </c>
      <c r="CK27" s="15">
        <f t="shared" si="60"/>
        <v>0</v>
      </c>
      <c r="CL27" s="15">
        <f t="shared" si="64"/>
        <v>0</v>
      </c>
      <c r="CM27" s="15">
        <f t="shared" si="60"/>
        <v>0</v>
      </c>
      <c r="CN27" s="15">
        <f t="shared" si="68"/>
        <v>0</v>
      </c>
      <c r="CO27" s="15">
        <f t="shared" si="60"/>
        <v>0</v>
      </c>
      <c r="CP27" s="15">
        <f t="shared" si="69"/>
        <v>0</v>
      </c>
      <c r="CQ27" s="15">
        <f t="shared" si="60"/>
        <v>0</v>
      </c>
      <c r="CR27" s="15">
        <f t="shared" si="70"/>
        <v>0</v>
      </c>
      <c r="CS27" s="2">
        <f t="shared" si="71"/>
        <v>4</v>
      </c>
      <c r="CT27" s="2">
        <f>IFERROR((VLOOKUP(A27,'Quad-Tech'!$F$1:$G$17,2,FALSE)),0)</f>
        <v>0</v>
      </c>
    </row>
    <row r="28" spans="1:98" ht="20.25" customHeight="1">
      <c r="A28" s="91">
        <f t="shared" si="72"/>
        <v>45005</v>
      </c>
      <c r="B28" s="92"/>
      <c r="C28" s="93"/>
      <c r="D28" s="41" t="str">
        <f>VLOOKUP(A28,'Quad-Tech'!A21:B385,2,FALSE)</f>
        <v>Mon</v>
      </c>
      <c r="E28" s="94" t="s">
        <v>187</v>
      </c>
      <c r="F28" s="95"/>
      <c r="G28" s="96"/>
      <c r="H28" s="74"/>
      <c r="I28" s="73"/>
      <c r="J28" s="94" t="s">
        <v>187</v>
      </c>
      <c r="K28" s="95"/>
      <c r="L28" s="95"/>
      <c r="M28" s="96"/>
      <c r="N28" s="33"/>
      <c r="O28" s="34"/>
      <c r="P28" s="32"/>
      <c r="Q28" s="16">
        <f t="shared" si="65"/>
        <v>0</v>
      </c>
      <c r="R28" s="15">
        <f t="shared" si="66"/>
        <v>0</v>
      </c>
      <c r="S28" s="15">
        <f t="shared" si="73"/>
        <v>0</v>
      </c>
      <c r="T28" s="15">
        <f t="shared" si="1"/>
        <v>0</v>
      </c>
      <c r="U28" s="15">
        <f t="shared" si="74"/>
        <v>0</v>
      </c>
      <c r="V28" s="15">
        <f t="shared" si="3"/>
        <v>0</v>
      </c>
      <c r="W28" s="15">
        <f t="shared" si="75"/>
        <v>0</v>
      </c>
      <c r="X28" s="15">
        <f t="shared" si="5"/>
        <v>0</v>
      </c>
      <c r="Y28" s="15">
        <f t="shared" si="75"/>
        <v>0</v>
      </c>
      <c r="Z28" s="15">
        <f t="shared" si="6"/>
        <v>0</v>
      </c>
      <c r="AA28" s="15">
        <f t="shared" si="75"/>
        <v>0</v>
      </c>
      <c r="AB28" s="15">
        <f t="shared" si="7"/>
        <v>0</v>
      </c>
      <c r="AC28" s="15">
        <f t="shared" si="76"/>
        <v>0</v>
      </c>
      <c r="AD28" s="15">
        <f t="shared" si="67"/>
        <v>0</v>
      </c>
      <c r="AE28" s="15">
        <f t="shared" si="77"/>
        <v>0</v>
      </c>
      <c r="AF28" s="15">
        <f t="shared" si="9"/>
        <v>0</v>
      </c>
      <c r="AG28" s="15">
        <f t="shared" si="78"/>
        <v>0</v>
      </c>
      <c r="AH28" s="15">
        <f t="shared" si="11"/>
        <v>0</v>
      </c>
      <c r="AI28" s="15">
        <f t="shared" si="79"/>
        <v>0</v>
      </c>
      <c r="AJ28" s="15">
        <f t="shared" si="13"/>
        <v>0</v>
      </c>
      <c r="AK28" s="15">
        <f t="shared" si="80"/>
        <v>0</v>
      </c>
      <c r="AL28" s="15">
        <f t="shared" si="15"/>
        <v>0</v>
      </c>
      <c r="AM28" s="15">
        <f t="shared" si="81"/>
        <v>0</v>
      </c>
      <c r="AN28" s="15">
        <f t="shared" si="17"/>
        <v>0</v>
      </c>
      <c r="AO28" s="15">
        <f t="shared" si="82"/>
        <v>0</v>
      </c>
      <c r="AP28" s="15">
        <f t="shared" si="19"/>
        <v>0</v>
      </c>
      <c r="AQ28" s="15">
        <f t="shared" si="83"/>
        <v>0</v>
      </c>
      <c r="AR28" s="15">
        <f t="shared" si="21"/>
        <v>0</v>
      </c>
      <c r="AS28" s="15">
        <f t="shared" si="84"/>
        <v>0</v>
      </c>
      <c r="AT28" s="15">
        <f t="shared" si="23"/>
        <v>0</v>
      </c>
      <c r="AU28" s="15">
        <f t="shared" si="85"/>
        <v>0</v>
      </c>
      <c r="AV28" s="15">
        <f t="shared" si="25"/>
        <v>0</v>
      </c>
      <c r="AW28" s="15">
        <f t="shared" si="86"/>
        <v>0</v>
      </c>
      <c r="AX28" s="15">
        <f t="shared" si="27"/>
        <v>0</v>
      </c>
      <c r="AY28" s="15">
        <f t="shared" si="87"/>
        <v>0</v>
      </c>
      <c r="AZ28" s="15">
        <f t="shared" si="29"/>
        <v>0</v>
      </c>
      <c r="BA28" s="15">
        <f t="shared" si="88"/>
        <v>0</v>
      </c>
      <c r="BB28" s="15">
        <f t="shared" si="31"/>
        <v>0</v>
      </c>
      <c r="BC28" s="15">
        <f t="shared" si="89"/>
        <v>0</v>
      </c>
      <c r="BD28" s="15">
        <f t="shared" si="33"/>
        <v>0</v>
      </c>
      <c r="BE28" s="15">
        <f t="shared" si="90"/>
        <v>1</v>
      </c>
      <c r="BF28" s="15">
        <f t="shared" si="35"/>
        <v>1</v>
      </c>
      <c r="BG28" s="15">
        <f t="shared" si="91"/>
        <v>0</v>
      </c>
      <c r="BH28" s="15">
        <f t="shared" si="37"/>
        <v>0</v>
      </c>
      <c r="BI28" s="15">
        <f t="shared" si="92"/>
        <v>0</v>
      </c>
      <c r="BJ28" s="15">
        <f t="shared" si="39"/>
        <v>0</v>
      </c>
      <c r="BK28" s="15">
        <f t="shared" si="93"/>
        <v>0</v>
      </c>
      <c r="BL28" s="15">
        <f t="shared" si="41"/>
        <v>0</v>
      </c>
      <c r="BM28" s="15">
        <f t="shared" si="94"/>
        <v>0</v>
      </c>
      <c r="BN28" s="15">
        <f t="shared" si="43"/>
        <v>0</v>
      </c>
      <c r="BO28" s="15">
        <f t="shared" si="44"/>
        <v>0</v>
      </c>
      <c r="BP28" s="15">
        <f t="shared" si="45"/>
        <v>0</v>
      </c>
      <c r="BQ28" s="15">
        <f t="shared" si="46"/>
        <v>0</v>
      </c>
      <c r="BR28" s="15">
        <f t="shared" si="47"/>
        <v>0</v>
      </c>
      <c r="BS28" s="15">
        <f t="shared" si="48"/>
        <v>0</v>
      </c>
      <c r="BT28" s="15">
        <f t="shared" si="49"/>
        <v>0</v>
      </c>
      <c r="BU28" s="15">
        <f t="shared" si="50"/>
        <v>0</v>
      </c>
      <c r="BV28" s="15">
        <f t="shared" si="51"/>
        <v>0</v>
      </c>
      <c r="BW28" s="15">
        <f t="shared" si="52"/>
        <v>0</v>
      </c>
      <c r="BX28" s="15">
        <f t="shared" si="53"/>
        <v>0</v>
      </c>
      <c r="BY28" s="15">
        <f t="shared" si="54"/>
        <v>0</v>
      </c>
      <c r="BZ28" s="15">
        <f t="shared" si="55"/>
        <v>0</v>
      </c>
      <c r="CA28" s="15">
        <f t="shared" si="56"/>
        <v>0</v>
      </c>
      <c r="CB28" s="15">
        <f t="shared" si="57"/>
        <v>0</v>
      </c>
      <c r="CC28" s="15">
        <f t="shared" si="58"/>
        <v>0</v>
      </c>
      <c r="CD28" s="15">
        <f t="shared" si="59"/>
        <v>0</v>
      </c>
      <c r="CE28" s="15">
        <f t="shared" si="60"/>
        <v>0</v>
      </c>
      <c r="CF28" s="15">
        <f t="shared" si="61"/>
        <v>0</v>
      </c>
      <c r="CG28" s="15">
        <f t="shared" si="60"/>
        <v>0</v>
      </c>
      <c r="CH28" s="15">
        <f t="shared" si="62"/>
        <v>0</v>
      </c>
      <c r="CI28" s="15">
        <f t="shared" si="60"/>
        <v>0</v>
      </c>
      <c r="CJ28" s="15">
        <f t="shared" si="63"/>
        <v>0</v>
      </c>
      <c r="CK28" s="15">
        <f t="shared" si="60"/>
        <v>0</v>
      </c>
      <c r="CL28" s="15">
        <f t="shared" si="64"/>
        <v>0</v>
      </c>
      <c r="CM28" s="15">
        <f t="shared" si="60"/>
        <v>0</v>
      </c>
      <c r="CN28" s="15">
        <f t="shared" si="68"/>
        <v>0</v>
      </c>
      <c r="CO28" s="15">
        <f t="shared" si="60"/>
        <v>0</v>
      </c>
      <c r="CP28" s="15">
        <f t="shared" si="69"/>
        <v>0</v>
      </c>
      <c r="CQ28" s="15">
        <f t="shared" si="60"/>
        <v>0</v>
      </c>
      <c r="CR28" s="15">
        <f t="shared" si="70"/>
        <v>0</v>
      </c>
      <c r="CS28" s="2">
        <f t="shared" si="71"/>
        <v>4</v>
      </c>
      <c r="CT28" s="2">
        <f>IFERROR((VLOOKUP(A28,'Quad-Tech'!$F$1:$G$17,2,FALSE)),0)</f>
        <v>0</v>
      </c>
    </row>
    <row r="29" spans="1:98" ht="20.25" customHeight="1">
      <c r="A29" s="91">
        <f t="shared" si="72"/>
        <v>45006</v>
      </c>
      <c r="B29" s="92"/>
      <c r="C29" s="93"/>
      <c r="D29" s="41" t="str">
        <f>VLOOKUP(A29,'Quad-Tech'!A22:B386,2,FALSE)</f>
        <v>Tue</v>
      </c>
      <c r="E29" s="94" t="s">
        <v>187</v>
      </c>
      <c r="F29" s="95"/>
      <c r="G29" s="96"/>
      <c r="H29" s="74"/>
      <c r="I29" s="73"/>
      <c r="J29" s="94" t="s">
        <v>187</v>
      </c>
      <c r="K29" s="95"/>
      <c r="L29" s="95"/>
      <c r="M29" s="96"/>
      <c r="N29" s="33"/>
      <c r="O29" s="34"/>
      <c r="P29" s="32"/>
      <c r="Q29" s="16">
        <f t="shared" si="65"/>
        <v>0</v>
      </c>
      <c r="R29" s="15">
        <f t="shared" si="66"/>
        <v>0</v>
      </c>
      <c r="S29" s="15">
        <f t="shared" si="73"/>
        <v>0</v>
      </c>
      <c r="T29" s="15">
        <f t="shared" si="1"/>
        <v>0</v>
      </c>
      <c r="U29" s="15">
        <f t="shared" si="74"/>
        <v>0</v>
      </c>
      <c r="V29" s="15">
        <f t="shared" si="3"/>
        <v>0</v>
      </c>
      <c r="W29" s="15">
        <f t="shared" si="75"/>
        <v>0</v>
      </c>
      <c r="X29" s="15">
        <f t="shared" si="5"/>
        <v>0</v>
      </c>
      <c r="Y29" s="15">
        <f t="shared" si="75"/>
        <v>0</v>
      </c>
      <c r="Z29" s="15">
        <f t="shared" si="6"/>
        <v>0</v>
      </c>
      <c r="AA29" s="15">
        <f t="shared" si="75"/>
        <v>0</v>
      </c>
      <c r="AB29" s="15">
        <f t="shared" si="7"/>
        <v>0</v>
      </c>
      <c r="AC29" s="15">
        <f t="shared" si="76"/>
        <v>0</v>
      </c>
      <c r="AD29" s="15">
        <f t="shared" si="67"/>
        <v>0</v>
      </c>
      <c r="AE29" s="15">
        <f t="shared" si="77"/>
        <v>0</v>
      </c>
      <c r="AF29" s="15">
        <f t="shared" si="9"/>
        <v>0</v>
      </c>
      <c r="AG29" s="15">
        <f t="shared" si="78"/>
        <v>0</v>
      </c>
      <c r="AH29" s="15">
        <f t="shared" si="11"/>
        <v>0</v>
      </c>
      <c r="AI29" s="15">
        <f t="shared" si="79"/>
        <v>0</v>
      </c>
      <c r="AJ29" s="15">
        <f t="shared" si="13"/>
        <v>0</v>
      </c>
      <c r="AK29" s="15">
        <f t="shared" si="80"/>
        <v>0</v>
      </c>
      <c r="AL29" s="15">
        <f t="shared" si="15"/>
        <v>0</v>
      </c>
      <c r="AM29" s="15">
        <f t="shared" si="81"/>
        <v>0</v>
      </c>
      <c r="AN29" s="15">
        <f t="shared" si="17"/>
        <v>0</v>
      </c>
      <c r="AO29" s="15">
        <f t="shared" si="82"/>
        <v>0</v>
      </c>
      <c r="AP29" s="15">
        <f t="shared" si="19"/>
        <v>0</v>
      </c>
      <c r="AQ29" s="15">
        <f t="shared" si="83"/>
        <v>0</v>
      </c>
      <c r="AR29" s="15">
        <f t="shared" si="21"/>
        <v>0</v>
      </c>
      <c r="AS29" s="15">
        <f t="shared" si="84"/>
        <v>0</v>
      </c>
      <c r="AT29" s="15">
        <f t="shared" si="23"/>
        <v>0</v>
      </c>
      <c r="AU29" s="15">
        <f t="shared" si="85"/>
        <v>0</v>
      </c>
      <c r="AV29" s="15">
        <f t="shared" si="25"/>
        <v>0</v>
      </c>
      <c r="AW29" s="15">
        <f t="shared" si="86"/>
        <v>0</v>
      </c>
      <c r="AX29" s="15">
        <f t="shared" si="27"/>
        <v>0</v>
      </c>
      <c r="AY29" s="15">
        <f t="shared" si="87"/>
        <v>0</v>
      </c>
      <c r="AZ29" s="15">
        <f t="shared" si="29"/>
        <v>0</v>
      </c>
      <c r="BA29" s="15">
        <f t="shared" si="88"/>
        <v>0</v>
      </c>
      <c r="BB29" s="15">
        <f t="shared" si="31"/>
        <v>0</v>
      </c>
      <c r="BC29" s="15">
        <f t="shared" si="89"/>
        <v>0</v>
      </c>
      <c r="BD29" s="15">
        <f t="shared" si="33"/>
        <v>0</v>
      </c>
      <c r="BE29" s="15">
        <f t="shared" si="90"/>
        <v>1</v>
      </c>
      <c r="BF29" s="15">
        <f t="shared" si="35"/>
        <v>1</v>
      </c>
      <c r="BG29" s="15">
        <f t="shared" si="91"/>
        <v>0</v>
      </c>
      <c r="BH29" s="15">
        <f t="shared" si="37"/>
        <v>0</v>
      </c>
      <c r="BI29" s="15">
        <f t="shared" si="92"/>
        <v>0</v>
      </c>
      <c r="BJ29" s="15">
        <f t="shared" si="39"/>
        <v>0</v>
      </c>
      <c r="BK29" s="15">
        <f t="shared" si="93"/>
        <v>0</v>
      </c>
      <c r="BL29" s="15">
        <f t="shared" si="41"/>
        <v>0</v>
      </c>
      <c r="BM29" s="15">
        <f t="shared" si="94"/>
        <v>0</v>
      </c>
      <c r="BN29" s="15">
        <f t="shared" si="43"/>
        <v>0</v>
      </c>
      <c r="BO29" s="15">
        <f t="shared" si="44"/>
        <v>0</v>
      </c>
      <c r="BP29" s="15">
        <f t="shared" si="45"/>
        <v>0</v>
      </c>
      <c r="BQ29" s="15">
        <f t="shared" si="46"/>
        <v>0</v>
      </c>
      <c r="BR29" s="15">
        <f t="shared" si="47"/>
        <v>0</v>
      </c>
      <c r="BS29" s="15">
        <f t="shared" si="48"/>
        <v>0</v>
      </c>
      <c r="BT29" s="15">
        <f t="shared" si="49"/>
        <v>0</v>
      </c>
      <c r="BU29" s="15">
        <f t="shared" si="50"/>
        <v>0</v>
      </c>
      <c r="BV29" s="15">
        <f t="shared" si="51"/>
        <v>0</v>
      </c>
      <c r="BW29" s="15">
        <f t="shared" si="52"/>
        <v>0</v>
      </c>
      <c r="BX29" s="15">
        <f t="shared" si="53"/>
        <v>0</v>
      </c>
      <c r="BY29" s="15">
        <f t="shared" si="54"/>
        <v>0</v>
      </c>
      <c r="BZ29" s="15">
        <f t="shared" si="55"/>
        <v>0</v>
      </c>
      <c r="CA29" s="15">
        <f t="shared" si="56"/>
        <v>0</v>
      </c>
      <c r="CB29" s="15">
        <f t="shared" si="57"/>
        <v>0</v>
      </c>
      <c r="CC29" s="15">
        <f t="shared" si="58"/>
        <v>0</v>
      </c>
      <c r="CD29" s="15">
        <f t="shared" si="59"/>
        <v>0</v>
      </c>
      <c r="CE29" s="15">
        <f t="shared" si="60"/>
        <v>0</v>
      </c>
      <c r="CF29" s="15">
        <f t="shared" si="61"/>
        <v>0</v>
      </c>
      <c r="CG29" s="15">
        <f t="shared" si="60"/>
        <v>0</v>
      </c>
      <c r="CH29" s="15">
        <f t="shared" si="62"/>
        <v>0</v>
      </c>
      <c r="CI29" s="15">
        <f t="shared" si="60"/>
        <v>0</v>
      </c>
      <c r="CJ29" s="15">
        <f t="shared" si="63"/>
        <v>0</v>
      </c>
      <c r="CK29" s="15">
        <f t="shared" si="60"/>
        <v>0</v>
      </c>
      <c r="CL29" s="15">
        <f t="shared" si="64"/>
        <v>0</v>
      </c>
      <c r="CM29" s="15">
        <f t="shared" si="60"/>
        <v>0</v>
      </c>
      <c r="CN29" s="15">
        <f t="shared" si="68"/>
        <v>0</v>
      </c>
      <c r="CO29" s="15">
        <f t="shared" si="60"/>
        <v>0</v>
      </c>
      <c r="CP29" s="15">
        <f t="shared" si="69"/>
        <v>0</v>
      </c>
      <c r="CQ29" s="15">
        <f t="shared" si="60"/>
        <v>0</v>
      </c>
      <c r="CR29" s="15">
        <f t="shared" si="70"/>
        <v>0</v>
      </c>
      <c r="CS29" s="2">
        <f t="shared" si="71"/>
        <v>4</v>
      </c>
      <c r="CT29" s="2">
        <f>IFERROR((VLOOKUP(A29,'Quad-Tech'!$F$1:$G$17,2,FALSE)),0)</f>
        <v>0</v>
      </c>
    </row>
    <row r="30" spans="1:98" ht="20.25" customHeight="1">
      <c r="A30" s="91">
        <f t="shared" si="72"/>
        <v>45007</v>
      </c>
      <c r="B30" s="92"/>
      <c r="C30" s="93"/>
      <c r="D30" s="41" t="str">
        <f>VLOOKUP(A30,'Quad-Tech'!A23:B387,2,FALSE)</f>
        <v>Wed</v>
      </c>
      <c r="E30" s="94" t="s">
        <v>189</v>
      </c>
      <c r="F30" s="95"/>
      <c r="G30" s="96"/>
      <c r="H30" s="74"/>
      <c r="I30" s="73"/>
      <c r="J30" s="94" t="s">
        <v>189</v>
      </c>
      <c r="K30" s="95"/>
      <c r="L30" s="95"/>
      <c r="M30" s="96"/>
      <c r="N30" s="33"/>
      <c r="O30" s="34"/>
      <c r="P30" s="32"/>
      <c r="Q30" s="16">
        <f t="shared" si="65"/>
        <v>0</v>
      </c>
      <c r="R30" s="15">
        <f t="shared" si="66"/>
        <v>0</v>
      </c>
      <c r="S30" s="15">
        <f t="shared" si="73"/>
        <v>0</v>
      </c>
      <c r="T30" s="15">
        <f t="shared" si="1"/>
        <v>0</v>
      </c>
      <c r="U30" s="15">
        <f t="shared" si="74"/>
        <v>0</v>
      </c>
      <c r="V30" s="15">
        <f t="shared" si="3"/>
        <v>0</v>
      </c>
      <c r="W30" s="15">
        <f t="shared" si="75"/>
        <v>0</v>
      </c>
      <c r="X30" s="15">
        <f t="shared" si="5"/>
        <v>0</v>
      </c>
      <c r="Y30" s="15">
        <f t="shared" si="75"/>
        <v>0</v>
      </c>
      <c r="Z30" s="15">
        <f t="shared" si="6"/>
        <v>0</v>
      </c>
      <c r="AA30" s="15">
        <f t="shared" si="75"/>
        <v>0</v>
      </c>
      <c r="AB30" s="15">
        <f t="shared" si="7"/>
        <v>0</v>
      </c>
      <c r="AC30" s="15">
        <f t="shared" si="76"/>
        <v>0</v>
      </c>
      <c r="AD30" s="15">
        <f t="shared" si="67"/>
        <v>0</v>
      </c>
      <c r="AE30" s="15">
        <f t="shared" si="77"/>
        <v>0</v>
      </c>
      <c r="AF30" s="15">
        <f t="shared" si="9"/>
        <v>0</v>
      </c>
      <c r="AG30" s="15">
        <f t="shared" si="78"/>
        <v>0</v>
      </c>
      <c r="AH30" s="15">
        <f t="shared" si="11"/>
        <v>0</v>
      </c>
      <c r="AI30" s="15">
        <f t="shared" si="79"/>
        <v>0</v>
      </c>
      <c r="AJ30" s="15">
        <f t="shared" si="13"/>
        <v>0</v>
      </c>
      <c r="AK30" s="15">
        <f t="shared" si="80"/>
        <v>0</v>
      </c>
      <c r="AL30" s="15">
        <f t="shared" si="15"/>
        <v>0</v>
      </c>
      <c r="AM30" s="15">
        <f t="shared" si="81"/>
        <v>0</v>
      </c>
      <c r="AN30" s="15">
        <f t="shared" si="17"/>
        <v>0</v>
      </c>
      <c r="AO30" s="15">
        <f t="shared" si="82"/>
        <v>0</v>
      </c>
      <c r="AP30" s="15">
        <f t="shared" si="19"/>
        <v>0</v>
      </c>
      <c r="AQ30" s="15">
        <f t="shared" si="83"/>
        <v>0</v>
      </c>
      <c r="AR30" s="15">
        <f t="shared" si="21"/>
        <v>0</v>
      </c>
      <c r="AS30" s="15">
        <f t="shared" si="84"/>
        <v>0</v>
      </c>
      <c r="AT30" s="15">
        <f t="shared" si="23"/>
        <v>0</v>
      </c>
      <c r="AU30" s="15">
        <f t="shared" si="85"/>
        <v>0</v>
      </c>
      <c r="AV30" s="15">
        <f t="shared" si="25"/>
        <v>0</v>
      </c>
      <c r="AW30" s="15">
        <f t="shared" si="86"/>
        <v>0</v>
      </c>
      <c r="AX30" s="15">
        <f t="shared" si="27"/>
        <v>0</v>
      </c>
      <c r="AY30" s="15">
        <f t="shared" si="87"/>
        <v>0</v>
      </c>
      <c r="AZ30" s="15">
        <f t="shared" si="29"/>
        <v>0</v>
      </c>
      <c r="BA30" s="15">
        <f t="shared" si="88"/>
        <v>0</v>
      </c>
      <c r="BB30" s="15">
        <f t="shared" si="31"/>
        <v>0</v>
      </c>
      <c r="BC30" s="15">
        <f t="shared" si="89"/>
        <v>1</v>
      </c>
      <c r="BD30" s="15">
        <f t="shared" si="33"/>
        <v>1</v>
      </c>
      <c r="BE30" s="15">
        <f t="shared" si="90"/>
        <v>0</v>
      </c>
      <c r="BF30" s="15">
        <f t="shared" si="35"/>
        <v>0</v>
      </c>
      <c r="BG30" s="15">
        <f t="shared" si="91"/>
        <v>0</v>
      </c>
      <c r="BH30" s="15">
        <f t="shared" si="37"/>
        <v>0</v>
      </c>
      <c r="BI30" s="15">
        <f t="shared" si="92"/>
        <v>0</v>
      </c>
      <c r="BJ30" s="15">
        <f t="shared" si="39"/>
        <v>0</v>
      </c>
      <c r="BK30" s="15">
        <f t="shared" si="93"/>
        <v>0</v>
      </c>
      <c r="BL30" s="15">
        <f t="shared" si="41"/>
        <v>0</v>
      </c>
      <c r="BM30" s="15">
        <f t="shared" si="94"/>
        <v>0</v>
      </c>
      <c r="BN30" s="15">
        <f t="shared" si="43"/>
        <v>0</v>
      </c>
      <c r="BO30" s="15">
        <f t="shared" si="44"/>
        <v>0</v>
      </c>
      <c r="BP30" s="15">
        <f t="shared" si="45"/>
        <v>0</v>
      </c>
      <c r="BQ30" s="15">
        <f t="shared" si="46"/>
        <v>0</v>
      </c>
      <c r="BR30" s="15">
        <f t="shared" si="47"/>
        <v>0</v>
      </c>
      <c r="BS30" s="15">
        <f t="shared" si="48"/>
        <v>0</v>
      </c>
      <c r="BT30" s="15">
        <f t="shared" si="49"/>
        <v>0</v>
      </c>
      <c r="BU30" s="15">
        <f t="shared" si="50"/>
        <v>0</v>
      </c>
      <c r="BV30" s="15">
        <f t="shared" si="51"/>
        <v>0</v>
      </c>
      <c r="BW30" s="15">
        <f t="shared" si="52"/>
        <v>0</v>
      </c>
      <c r="BX30" s="15">
        <f t="shared" si="53"/>
        <v>0</v>
      </c>
      <c r="BY30" s="15">
        <f t="shared" si="54"/>
        <v>0</v>
      </c>
      <c r="BZ30" s="15">
        <f t="shared" si="55"/>
        <v>0</v>
      </c>
      <c r="CA30" s="15">
        <f t="shared" si="56"/>
        <v>0</v>
      </c>
      <c r="CB30" s="15">
        <f t="shared" si="57"/>
        <v>0</v>
      </c>
      <c r="CC30" s="15">
        <f t="shared" si="58"/>
        <v>0</v>
      </c>
      <c r="CD30" s="15">
        <f t="shared" si="59"/>
        <v>0</v>
      </c>
      <c r="CE30" s="15">
        <f t="shared" si="60"/>
        <v>0</v>
      </c>
      <c r="CF30" s="15">
        <f t="shared" si="61"/>
        <v>0</v>
      </c>
      <c r="CG30" s="15">
        <f t="shared" si="60"/>
        <v>0</v>
      </c>
      <c r="CH30" s="15">
        <f t="shared" si="62"/>
        <v>0</v>
      </c>
      <c r="CI30" s="15">
        <f t="shared" si="60"/>
        <v>0</v>
      </c>
      <c r="CJ30" s="15">
        <f t="shared" si="63"/>
        <v>0</v>
      </c>
      <c r="CK30" s="15">
        <f t="shared" si="60"/>
        <v>0</v>
      </c>
      <c r="CL30" s="15">
        <f t="shared" si="64"/>
        <v>0</v>
      </c>
      <c r="CM30" s="15">
        <f t="shared" si="60"/>
        <v>0</v>
      </c>
      <c r="CN30" s="15">
        <f t="shared" si="68"/>
        <v>0</v>
      </c>
      <c r="CO30" s="15">
        <f t="shared" si="60"/>
        <v>0</v>
      </c>
      <c r="CP30" s="15">
        <f t="shared" si="69"/>
        <v>0</v>
      </c>
      <c r="CQ30" s="15">
        <f t="shared" si="60"/>
        <v>0</v>
      </c>
      <c r="CR30" s="15">
        <f t="shared" si="70"/>
        <v>0</v>
      </c>
      <c r="CS30" s="2">
        <f t="shared" si="71"/>
        <v>4</v>
      </c>
      <c r="CT30" s="2">
        <f>IFERROR((VLOOKUP(A30,'Quad-Tech'!$F$1:$G$17,2,FALSE)),0)</f>
        <v>0</v>
      </c>
    </row>
    <row r="31" spans="1:98" ht="20.25" customHeight="1">
      <c r="A31" s="91">
        <f t="shared" si="72"/>
        <v>45008</v>
      </c>
      <c r="B31" s="92"/>
      <c r="C31" s="93"/>
      <c r="D31" s="41" t="str">
        <f>VLOOKUP(A31,'Quad-Tech'!A24:B388,2,FALSE)</f>
        <v>Thu</v>
      </c>
      <c r="E31" s="94" t="s">
        <v>15</v>
      </c>
      <c r="F31" s="95"/>
      <c r="G31" s="96"/>
      <c r="H31" s="74"/>
      <c r="I31" s="73"/>
      <c r="J31" s="94" t="s">
        <v>15</v>
      </c>
      <c r="K31" s="95"/>
      <c r="L31" s="95"/>
      <c r="M31" s="96"/>
      <c r="N31" s="33"/>
      <c r="O31" s="34"/>
      <c r="P31" s="32"/>
      <c r="Q31" s="16">
        <f t="shared" si="65"/>
        <v>0</v>
      </c>
      <c r="R31" s="15">
        <f t="shared" si="66"/>
        <v>0</v>
      </c>
      <c r="S31" s="15">
        <f t="shared" si="73"/>
        <v>0</v>
      </c>
      <c r="T31" s="15">
        <f t="shared" si="1"/>
        <v>0</v>
      </c>
      <c r="U31" s="15">
        <f t="shared" si="74"/>
        <v>1</v>
      </c>
      <c r="V31" s="15">
        <f t="shared" si="3"/>
        <v>1</v>
      </c>
      <c r="W31" s="15">
        <f t="shared" si="75"/>
        <v>0</v>
      </c>
      <c r="X31" s="15">
        <f t="shared" si="5"/>
        <v>0</v>
      </c>
      <c r="Y31" s="15">
        <f t="shared" si="75"/>
        <v>0</v>
      </c>
      <c r="Z31" s="15">
        <f t="shared" si="6"/>
        <v>0</v>
      </c>
      <c r="AA31" s="15">
        <f t="shared" si="75"/>
        <v>0</v>
      </c>
      <c r="AB31" s="15">
        <f t="shared" si="7"/>
        <v>0</v>
      </c>
      <c r="AC31" s="15">
        <f t="shared" si="76"/>
        <v>0</v>
      </c>
      <c r="AD31" s="15">
        <f t="shared" si="67"/>
        <v>0</v>
      </c>
      <c r="AE31" s="15">
        <f t="shared" si="77"/>
        <v>0</v>
      </c>
      <c r="AF31" s="15">
        <f t="shared" si="9"/>
        <v>0</v>
      </c>
      <c r="AG31" s="15">
        <f t="shared" si="78"/>
        <v>0</v>
      </c>
      <c r="AH31" s="15">
        <f t="shared" si="11"/>
        <v>0</v>
      </c>
      <c r="AI31" s="15">
        <f t="shared" si="79"/>
        <v>0</v>
      </c>
      <c r="AJ31" s="15">
        <f t="shared" si="13"/>
        <v>0</v>
      </c>
      <c r="AK31" s="15">
        <f t="shared" si="80"/>
        <v>0</v>
      </c>
      <c r="AL31" s="15">
        <f t="shared" si="15"/>
        <v>0</v>
      </c>
      <c r="AM31" s="15">
        <f t="shared" si="81"/>
        <v>0</v>
      </c>
      <c r="AN31" s="15">
        <f t="shared" si="17"/>
        <v>0</v>
      </c>
      <c r="AO31" s="15">
        <f t="shared" si="82"/>
        <v>0</v>
      </c>
      <c r="AP31" s="15">
        <f t="shared" si="19"/>
        <v>0</v>
      </c>
      <c r="AQ31" s="15">
        <f t="shared" si="83"/>
        <v>0</v>
      </c>
      <c r="AR31" s="15">
        <f t="shared" si="21"/>
        <v>0</v>
      </c>
      <c r="AS31" s="15">
        <f t="shared" si="84"/>
        <v>0</v>
      </c>
      <c r="AT31" s="15">
        <f t="shared" si="23"/>
        <v>0</v>
      </c>
      <c r="AU31" s="15">
        <f t="shared" si="85"/>
        <v>0</v>
      </c>
      <c r="AV31" s="15">
        <f t="shared" si="25"/>
        <v>0</v>
      </c>
      <c r="AW31" s="15">
        <f t="shared" si="86"/>
        <v>0</v>
      </c>
      <c r="AX31" s="15">
        <f t="shared" si="27"/>
        <v>0</v>
      </c>
      <c r="AY31" s="15">
        <f t="shared" si="87"/>
        <v>0</v>
      </c>
      <c r="AZ31" s="15">
        <f t="shared" si="29"/>
        <v>0</v>
      </c>
      <c r="BA31" s="15">
        <f t="shared" si="88"/>
        <v>0</v>
      </c>
      <c r="BB31" s="15">
        <f t="shared" si="31"/>
        <v>0</v>
      </c>
      <c r="BC31" s="15">
        <f t="shared" si="89"/>
        <v>0</v>
      </c>
      <c r="BD31" s="15">
        <f t="shared" si="33"/>
        <v>0</v>
      </c>
      <c r="BE31" s="15">
        <f t="shared" si="90"/>
        <v>0</v>
      </c>
      <c r="BF31" s="15">
        <f t="shared" si="35"/>
        <v>0</v>
      </c>
      <c r="BG31" s="15">
        <f t="shared" si="91"/>
        <v>0</v>
      </c>
      <c r="BH31" s="15">
        <f t="shared" si="37"/>
        <v>0</v>
      </c>
      <c r="BI31" s="15">
        <f t="shared" si="92"/>
        <v>0</v>
      </c>
      <c r="BJ31" s="15">
        <f t="shared" si="39"/>
        <v>0</v>
      </c>
      <c r="BK31" s="15">
        <f t="shared" si="93"/>
        <v>0</v>
      </c>
      <c r="BL31" s="15">
        <f t="shared" si="41"/>
        <v>0</v>
      </c>
      <c r="BM31" s="15">
        <f t="shared" si="94"/>
        <v>0</v>
      </c>
      <c r="BN31" s="15">
        <f t="shared" si="43"/>
        <v>0</v>
      </c>
      <c r="BO31" s="15">
        <f t="shared" si="44"/>
        <v>0</v>
      </c>
      <c r="BP31" s="15">
        <f t="shared" si="45"/>
        <v>0</v>
      </c>
      <c r="BQ31" s="15">
        <f t="shared" si="46"/>
        <v>0</v>
      </c>
      <c r="BR31" s="15">
        <f t="shared" si="47"/>
        <v>0</v>
      </c>
      <c r="BS31" s="15">
        <f t="shared" si="48"/>
        <v>0</v>
      </c>
      <c r="BT31" s="15">
        <f t="shared" si="49"/>
        <v>0</v>
      </c>
      <c r="BU31" s="15">
        <f t="shared" si="50"/>
        <v>0</v>
      </c>
      <c r="BV31" s="15">
        <f t="shared" si="51"/>
        <v>0</v>
      </c>
      <c r="BW31" s="15">
        <f t="shared" si="52"/>
        <v>0</v>
      </c>
      <c r="BX31" s="15">
        <f t="shared" si="53"/>
        <v>0</v>
      </c>
      <c r="BY31" s="15">
        <f t="shared" si="54"/>
        <v>0</v>
      </c>
      <c r="BZ31" s="15">
        <f t="shared" si="55"/>
        <v>0</v>
      </c>
      <c r="CA31" s="15">
        <f t="shared" si="56"/>
        <v>0</v>
      </c>
      <c r="CB31" s="15">
        <f t="shared" si="57"/>
        <v>0</v>
      </c>
      <c r="CC31" s="15">
        <f t="shared" si="58"/>
        <v>0</v>
      </c>
      <c r="CD31" s="15">
        <f t="shared" si="59"/>
        <v>0</v>
      </c>
      <c r="CE31" s="15">
        <f t="shared" si="60"/>
        <v>0</v>
      </c>
      <c r="CF31" s="15">
        <f t="shared" si="61"/>
        <v>0</v>
      </c>
      <c r="CG31" s="15">
        <f t="shared" si="60"/>
        <v>0</v>
      </c>
      <c r="CH31" s="15">
        <f t="shared" si="62"/>
        <v>0</v>
      </c>
      <c r="CI31" s="15">
        <f t="shared" si="60"/>
        <v>0</v>
      </c>
      <c r="CJ31" s="15">
        <f t="shared" si="63"/>
        <v>0</v>
      </c>
      <c r="CK31" s="15">
        <f t="shared" si="60"/>
        <v>0</v>
      </c>
      <c r="CL31" s="15">
        <f t="shared" si="64"/>
        <v>0</v>
      </c>
      <c r="CM31" s="15">
        <f t="shared" si="60"/>
        <v>0</v>
      </c>
      <c r="CN31" s="15">
        <f t="shared" si="68"/>
        <v>0</v>
      </c>
      <c r="CO31" s="15">
        <f t="shared" si="60"/>
        <v>0</v>
      </c>
      <c r="CP31" s="15">
        <f t="shared" si="69"/>
        <v>0</v>
      </c>
      <c r="CQ31" s="15">
        <f t="shared" si="60"/>
        <v>0</v>
      </c>
      <c r="CR31" s="15">
        <f t="shared" si="70"/>
        <v>0</v>
      </c>
      <c r="CS31" s="2">
        <f t="shared" si="71"/>
        <v>4</v>
      </c>
      <c r="CT31" s="2">
        <f>IFERROR((VLOOKUP(A31,'Quad-Tech'!$F$1:$G$17,2,FALSE)),0)</f>
        <v>0</v>
      </c>
    </row>
    <row r="32" spans="1:98" ht="20.25" customHeight="1">
      <c r="A32" s="91">
        <f t="shared" si="72"/>
        <v>45009</v>
      </c>
      <c r="B32" s="92"/>
      <c r="C32" s="93"/>
      <c r="D32" s="41" t="str">
        <f>VLOOKUP(A32,'Quad-Tech'!A25:B389,2,FALSE)</f>
        <v>Fri</v>
      </c>
      <c r="E32" s="94" t="s">
        <v>143</v>
      </c>
      <c r="F32" s="95"/>
      <c r="G32" s="96"/>
      <c r="H32" s="74"/>
      <c r="I32" s="73"/>
      <c r="J32" s="94" t="s">
        <v>143</v>
      </c>
      <c r="K32" s="95"/>
      <c r="L32" s="95"/>
      <c r="M32" s="96"/>
      <c r="N32" s="33"/>
      <c r="O32" s="34"/>
      <c r="P32" s="32"/>
      <c r="Q32" s="16">
        <f t="shared" si="65"/>
        <v>0</v>
      </c>
      <c r="R32" s="15">
        <f t="shared" si="66"/>
        <v>0</v>
      </c>
      <c r="S32" s="15">
        <f t="shared" si="73"/>
        <v>0</v>
      </c>
      <c r="T32" s="15">
        <f t="shared" si="1"/>
        <v>0</v>
      </c>
      <c r="U32" s="15">
        <f t="shared" si="74"/>
        <v>0</v>
      </c>
      <c r="V32" s="15">
        <f t="shared" si="3"/>
        <v>0</v>
      </c>
      <c r="W32" s="15">
        <f t="shared" si="75"/>
        <v>0</v>
      </c>
      <c r="X32" s="15">
        <f t="shared" si="5"/>
        <v>0</v>
      </c>
      <c r="Y32" s="15">
        <f t="shared" si="75"/>
        <v>0</v>
      </c>
      <c r="Z32" s="15">
        <f t="shared" si="6"/>
        <v>0</v>
      </c>
      <c r="AA32" s="15">
        <f t="shared" si="75"/>
        <v>0</v>
      </c>
      <c r="AB32" s="15">
        <f t="shared" si="7"/>
        <v>0</v>
      </c>
      <c r="AC32" s="15">
        <f t="shared" si="76"/>
        <v>0</v>
      </c>
      <c r="AD32" s="15">
        <f t="shared" si="67"/>
        <v>0</v>
      </c>
      <c r="AE32" s="15">
        <f t="shared" si="77"/>
        <v>0</v>
      </c>
      <c r="AF32" s="15">
        <f t="shared" si="9"/>
        <v>0</v>
      </c>
      <c r="AG32" s="15">
        <f t="shared" si="78"/>
        <v>0</v>
      </c>
      <c r="AH32" s="15">
        <f t="shared" si="11"/>
        <v>0</v>
      </c>
      <c r="AI32" s="15">
        <f t="shared" si="79"/>
        <v>0</v>
      </c>
      <c r="AJ32" s="15">
        <f t="shared" si="13"/>
        <v>0</v>
      </c>
      <c r="AK32" s="15">
        <f t="shared" si="80"/>
        <v>0</v>
      </c>
      <c r="AL32" s="15">
        <f t="shared" si="15"/>
        <v>0</v>
      </c>
      <c r="AM32" s="15">
        <f t="shared" si="81"/>
        <v>0</v>
      </c>
      <c r="AN32" s="15">
        <f t="shared" si="17"/>
        <v>0</v>
      </c>
      <c r="AO32" s="15">
        <f t="shared" si="82"/>
        <v>0</v>
      </c>
      <c r="AP32" s="15">
        <f t="shared" si="19"/>
        <v>0</v>
      </c>
      <c r="AQ32" s="15">
        <f t="shared" si="83"/>
        <v>0</v>
      </c>
      <c r="AR32" s="15">
        <f t="shared" si="21"/>
        <v>0</v>
      </c>
      <c r="AS32" s="15">
        <f t="shared" si="84"/>
        <v>0</v>
      </c>
      <c r="AT32" s="15">
        <f t="shared" si="23"/>
        <v>0</v>
      </c>
      <c r="AU32" s="15">
        <f t="shared" si="85"/>
        <v>0</v>
      </c>
      <c r="AV32" s="15">
        <f t="shared" si="25"/>
        <v>0</v>
      </c>
      <c r="AW32" s="15">
        <f t="shared" si="86"/>
        <v>0</v>
      </c>
      <c r="AX32" s="15">
        <f t="shared" si="27"/>
        <v>0</v>
      </c>
      <c r="AY32" s="15">
        <f t="shared" si="87"/>
        <v>0</v>
      </c>
      <c r="AZ32" s="15">
        <f t="shared" si="29"/>
        <v>0</v>
      </c>
      <c r="BA32" s="15">
        <f t="shared" si="88"/>
        <v>1</v>
      </c>
      <c r="BB32" s="15">
        <f t="shared" si="31"/>
        <v>1</v>
      </c>
      <c r="BC32" s="15">
        <f t="shared" si="89"/>
        <v>0</v>
      </c>
      <c r="BD32" s="15">
        <f t="shared" si="33"/>
        <v>0</v>
      </c>
      <c r="BE32" s="15">
        <f t="shared" si="90"/>
        <v>0</v>
      </c>
      <c r="BF32" s="15">
        <f t="shared" si="35"/>
        <v>0</v>
      </c>
      <c r="BG32" s="15">
        <f t="shared" si="91"/>
        <v>0</v>
      </c>
      <c r="BH32" s="15">
        <f t="shared" si="37"/>
        <v>0</v>
      </c>
      <c r="BI32" s="15">
        <f t="shared" si="92"/>
        <v>0</v>
      </c>
      <c r="BJ32" s="15">
        <f t="shared" si="39"/>
        <v>0</v>
      </c>
      <c r="BK32" s="15">
        <f t="shared" si="93"/>
        <v>0</v>
      </c>
      <c r="BL32" s="15">
        <f t="shared" si="41"/>
        <v>0</v>
      </c>
      <c r="BM32" s="15">
        <f t="shared" si="94"/>
        <v>0</v>
      </c>
      <c r="BN32" s="15">
        <f t="shared" si="43"/>
        <v>0</v>
      </c>
      <c r="BO32" s="15">
        <f t="shared" si="44"/>
        <v>0</v>
      </c>
      <c r="BP32" s="15">
        <f t="shared" si="45"/>
        <v>0</v>
      </c>
      <c r="BQ32" s="15">
        <f t="shared" si="46"/>
        <v>0</v>
      </c>
      <c r="BR32" s="15">
        <f t="shared" si="47"/>
        <v>0</v>
      </c>
      <c r="BS32" s="15">
        <f t="shared" si="48"/>
        <v>0</v>
      </c>
      <c r="BT32" s="15">
        <f t="shared" si="49"/>
        <v>0</v>
      </c>
      <c r="BU32" s="15">
        <f t="shared" si="50"/>
        <v>0</v>
      </c>
      <c r="BV32" s="15">
        <f t="shared" si="51"/>
        <v>0</v>
      </c>
      <c r="BW32" s="15">
        <f t="shared" si="52"/>
        <v>0</v>
      </c>
      <c r="BX32" s="15">
        <f t="shared" si="53"/>
        <v>0</v>
      </c>
      <c r="BY32" s="15">
        <f t="shared" si="54"/>
        <v>0</v>
      </c>
      <c r="BZ32" s="15">
        <f t="shared" si="55"/>
        <v>0</v>
      </c>
      <c r="CA32" s="15">
        <f t="shared" si="56"/>
        <v>0</v>
      </c>
      <c r="CB32" s="15">
        <f t="shared" si="57"/>
        <v>0</v>
      </c>
      <c r="CC32" s="15">
        <f t="shared" si="58"/>
        <v>0</v>
      </c>
      <c r="CD32" s="15">
        <f t="shared" si="59"/>
        <v>0</v>
      </c>
      <c r="CE32" s="15">
        <f t="shared" si="60"/>
        <v>0</v>
      </c>
      <c r="CF32" s="15">
        <f t="shared" si="61"/>
        <v>0</v>
      </c>
      <c r="CG32" s="15">
        <f t="shared" si="60"/>
        <v>0</v>
      </c>
      <c r="CH32" s="15">
        <f t="shared" si="62"/>
        <v>0</v>
      </c>
      <c r="CI32" s="15">
        <f t="shared" si="60"/>
        <v>0</v>
      </c>
      <c r="CJ32" s="15">
        <f t="shared" si="63"/>
        <v>0</v>
      </c>
      <c r="CK32" s="15">
        <f t="shared" si="60"/>
        <v>0</v>
      </c>
      <c r="CL32" s="15">
        <f t="shared" si="64"/>
        <v>0</v>
      </c>
      <c r="CM32" s="15">
        <f t="shared" si="60"/>
        <v>0</v>
      </c>
      <c r="CN32" s="15">
        <f t="shared" si="68"/>
        <v>0</v>
      </c>
      <c r="CO32" s="15">
        <f t="shared" si="60"/>
        <v>0</v>
      </c>
      <c r="CP32" s="15">
        <f t="shared" si="69"/>
        <v>0</v>
      </c>
      <c r="CQ32" s="15">
        <f t="shared" si="60"/>
        <v>0</v>
      </c>
      <c r="CR32" s="15">
        <f t="shared" si="70"/>
        <v>0</v>
      </c>
      <c r="CS32" s="2">
        <f t="shared" si="71"/>
        <v>4</v>
      </c>
      <c r="CT32" s="2">
        <f>IFERROR((VLOOKUP(A32,'Quad-Tech'!$F$1:$G$17,2,FALSE)),0)</f>
        <v>0</v>
      </c>
    </row>
    <row r="33" spans="1:98" ht="20.25" customHeight="1">
      <c r="A33" s="91">
        <f t="shared" si="72"/>
        <v>45010</v>
      </c>
      <c r="B33" s="92"/>
      <c r="C33" s="93"/>
      <c r="D33" s="41" t="str">
        <f>VLOOKUP(A33,'Quad-Tech'!A26:B390,2,FALSE)</f>
        <v>Sat</v>
      </c>
      <c r="E33" s="94" t="s">
        <v>13</v>
      </c>
      <c r="F33" s="95"/>
      <c r="G33" s="96"/>
      <c r="H33" s="74"/>
      <c r="I33" s="73"/>
      <c r="J33" s="94" t="s">
        <v>13</v>
      </c>
      <c r="K33" s="95"/>
      <c r="L33" s="95"/>
      <c r="M33" s="96"/>
      <c r="N33" s="33"/>
      <c r="O33" s="34"/>
      <c r="P33" s="32"/>
      <c r="Q33" s="16">
        <f t="shared" si="65"/>
        <v>0</v>
      </c>
      <c r="R33" s="15">
        <f t="shared" si="66"/>
        <v>0</v>
      </c>
      <c r="S33" s="15">
        <f t="shared" si="73"/>
        <v>0</v>
      </c>
      <c r="T33" s="15">
        <f t="shared" si="1"/>
        <v>0</v>
      </c>
      <c r="U33" s="15">
        <f t="shared" si="74"/>
        <v>0</v>
      </c>
      <c r="V33" s="15">
        <f t="shared" si="3"/>
        <v>0</v>
      </c>
      <c r="W33" s="15">
        <f t="shared" si="75"/>
        <v>0</v>
      </c>
      <c r="X33" s="15">
        <f t="shared" si="5"/>
        <v>0</v>
      </c>
      <c r="Y33" s="15">
        <f t="shared" si="75"/>
        <v>0</v>
      </c>
      <c r="Z33" s="15">
        <f t="shared" si="6"/>
        <v>0</v>
      </c>
      <c r="AA33" s="15">
        <f t="shared" si="75"/>
        <v>1</v>
      </c>
      <c r="AB33" s="15">
        <f t="shared" si="7"/>
        <v>1</v>
      </c>
      <c r="AC33" s="15">
        <f t="shared" si="76"/>
        <v>0</v>
      </c>
      <c r="AD33" s="15">
        <f t="shared" si="67"/>
        <v>0</v>
      </c>
      <c r="AE33" s="15">
        <f t="shared" si="77"/>
        <v>0</v>
      </c>
      <c r="AF33" s="15">
        <f t="shared" si="9"/>
        <v>0</v>
      </c>
      <c r="AG33" s="15">
        <f t="shared" si="78"/>
        <v>0</v>
      </c>
      <c r="AH33" s="15">
        <f t="shared" si="11"/>
        <v>0</v>
      </c>
      <c r="AI33" s="15">
        <f t="shared" si="79"/>
        <v>0</v>
      </c>
      <c r="AJ33" s="15">
        <f t="shared" si="13"/>
        <v>0</v>
      </c>
      <c r="AK33" s="15">
        <f t="shared" si="80"/>
        <v>0</v>
      </c>
      <c r="AL33" s="15">
        <f t="shared" si="15"/>
        <v>0</v>
      </c>
      <c r="AM33" s="15">
        <f t="shared" si="81"/>
        <v>0</v>
      </c>
      <c r="AN33" s="15">
        <f t="shared" si="17"/>
        <v>0</v>
      </c>
      <c r="AO33" s="15">
        <f t="shared" si="82"/>
        <v>0</v>
      </c>
      <c r="AP33" s="15">
        <f t="shared" si="19"/>
        <v>0</v>
      </c>
      <c r="AQ33" s="15">
        <f t="shared" si="83"/>
        <v>0</v>
      </c>
      <c r="AR33" s="15">
        <f t="shared" si="21"/>
        <v>0</v>
      </c>
      <c r="AS33" s="15">
        <f t="shared" si="84"/>
        <v>0</v>
      </c>
      <c r="AT33" s="15">
        <f t="shared" si="23"/>
        <v>0</v>
      </c>
      <c r="AU33" s="15">
        <f t="shared" si="85"/>
        <v>0</v>
      </c>
      <c r="AV33" s="15">
        <f t="shared" si="25"/>
        <v>0</v>
      </c>
      <c r="AW33" s="15">
        <f t="shared" si="86"/>
        <v>0</v>
      </c>
      <c r="AX33" s="15">
        <f t="shared" si="27"/>
        <v>0</v>
      </c>
      <c r="AY33" s="15">
        <f t="shared" si="87"/>
        <v>0</v>
      </c>
      <c r="AZ33" s="15">
        <f t="shared" si="29"/>
        <v>0</v>
      </c>
      <c r="BA33" s="15">
        <f t="shared" si="88"/>
        <v>0</v>
      </c>
      <c r="BB33" s="15">
        <f t="shared" si="31"/>
        <v>0</v>
      </c>
      <c r="BC33" s="15">
        <f t="shared" si="89"/>
        <v>0</v>
      </c>
      <c r="BD33" s="15">
        <f t="shared" si="33"/>
        <v>0</v>
      </c>
      <c r="BE33" s="15">
        <f t="shared" si="90"/>
        <v>0</v>
      </c>
      <c r="BF33" s="15">
        <f t="shared" si="35"/>
        <v>0</v>
      </c>
      <c r="BG33" s="15">
        <f t="shared" si="91"/>
        <v>0</v>
      </c>
      <c r="BH33" s="15">
        <f t="shared" si="37"/>
        <v>0</v>
      </c>
      <c r="BI33" s="15">
        <f t="shared" si="92"/>
        <v>0</v>
      </c>
      <c r="BJ33" s="15">
        <f t="shared" si="39"/>
        <v>0</v>
      </c>
      <c r="BK33" s="15">
        <f t="shared" si="93"/>
        <v>0</v>
      </c>
      <c r="BL33" s="15">
        <f t="shared" si="41"/>
        <v>0</v>
      </c>
      <c r="BM33" s="15">
        <f t="shared" si="94"/>
        <v>0</v>
      </c>
      <c r="BN33" s="15">
        <f t="shared" si="43"/>
        <v>0</v>
      </c>
      <c r="BO33" s="15">
        <f t="shared" si="44"/>
        <v>0</v>
      </c>
      <c r="BP33" s="15">
        <f t="shared" si="45"/>
        <v>0</v>
      </c>
      <c r="BQ33" s="15">
        <f t="shared" si="46"/>
        <v>0</v>
      </c>
      <c r="BR33" s="15">
        <f t="shared" si="47"/>
        <v>0</v>
      </c>
      <c r="BS33" s="15">
        <f t="shared" si="48"/>
        <v>0</v>
      </c>
      <c r="BT33" s="15">
        <f t="shared" si="49"/>
        <v>0</v>
      </c>
      <c r="BU33" s="15">
        <f t="shared" si="50"/>
        <v>0</v>
      </c>
      <c r="BV33" s="15">
        <f t="shared" si="51"/>
        <v>0</v>
      </c>
      <c r="BW33" s="15">
        <f t="shared" si="52"/>
        <v>0</v>
      </c>
      <c r="BX33" s="15">
        <f t="shared" si="53"/>
        <v>0</v>
      </c>
      <c r="BY33" s="15">
        <f t="shared" si="54"/>
        <v>0</v>
      </c>
      <c r="BZ33" s="15">
        <f t="shared" si="55"/>
        <v>0</v>
      </c>
      <c r="CA33" s="15">
        <f t="shared" si="56"/>
        <v>0</v>
      </c>
      <c r="CB33" s="15">
        <f t="shared" si="57"/>
        <v>0</v>
      </c>
      <c r="CC33" s="15">
        <f t="shared" si="58"/>
        <v>0</v>
      </c>
      <c r="CD33" s="15">
        <f t="shared" si="59"/>
        <v>0</v>
      </c>
      <c r="CE33" s="15">
        <f t="shared" si="60"/>
        <v>0</v>
      </c>
      <c r="CF33" s="15">
        <f t="shared" si="61"/>
        <v>0</v>
      </c>
      <c r="CG33" s="15">
        <f t="shared" si="60"/>
        <v>0</v>
      </c>
      <c r="CH33" s="15">
        <f t="shared" si="62"/>
        <v>0</v>
      </c>
      <c r="CI33" s="15">
        <f t="shared" si="60"/>
        <v>0</v>
      </c>
      <c r="CJ33" s="15">
        <f t="shared" si="63"/>
        <v>0</v>
      </c>
      <c r="CK33" s="15">
        <f t="shared" si="60"/>
        <v>0</v>
      </c>
      <c r="CL33" s="15">
        <f t="shared" si="64"/>
        <v>0</v>
      </c>
      <c r="CM33" s="15">
        <f t="shared" si="60"/>
        <v>0</v>
      </c>
      <c r="CN33" s="15">
        <f t="shared" si="68"/>
        <v>0</v>
      </c>
      <c r="CO33" s="15">
        <f t="shared" si="60"/>
        <v>0</v>
      </c>
      <c r="CP33" s="15">
        <f t="shared" si="69"/>
        <v>0</v>
      </c>
      <c r="CQ33" s="15">
        <f t="shared" si="60"/>
        <v>0</v>
      </c>
      <c r="CR33" s="15">
        <f t="shared" si="70"/>
        <v>0</v>
      </c>
      <c r="CS33" s="2">
        <f t="shared" si="71"/>
        <v>4</v>
      </c>
      <c r="CT33" s="2">
        <f>IFERROR((VLOOKUP(A33,'Quad-Tech'!$F$1:$G$17,2,FALSE)),0)</f>
        <v>0</v>
      </c>
    </row>
    <row r="34" spans="1:98" ht="20.25" customHeight="1">
      <c r="A34" s="91">
        <f t="shared" si="72"/>
        <v>45011</v>
      </c>
      <c r="B34" s="92"/>
      <c r="C34" s="93"/>
      <c r="D34" s="41" t="str">
        <f>VLOOKUP(A34,'Quad-Tech'!A27:B391,2,FALSE)</f>
        <v>Sun</v>
      </c>
      <c r="E34" s="94" t="s">
        <v>14</v>
      </c>
      <c r="F34" s="95"/>
      <c r="G34" s="96"/>
      <c r="H34" s="74"/>
      <c r="I34" s="73"/>
      <c r="J34" s="94" t="s">
        <v>14</v>
      </c>
      <c r="K34" s="95"/>
      <c r="L34" s="95"/>
      <c r="M34" s="96"/>
      <c r="N34" s="33"/>
      <c r="O34" s="34"/>
      <c r="P34" s="32"/>
      <c r="Q34" s="16">
        <f t="shared" si="65"/>
        <v>0</v>
      </c>
      <c r="R34" s="15">
        <f t="shared" si="66"/>
        <v>0</v>
      </c>
      <c r="S34" s="15">
        <f t="shared" si="73"/>
        <v>1</v>
      </c>
      <c r="T34" s="15">
        <f t="shared" si="1"/>
        <v>1</v>
      </c>
      <c r="U34" s="15">
        <f t="shared" si="74"/>
        <v>0</v>
      </c>
      <c r="V34" s="15">
        <f t="shared" si="3"/>
        <v>0</v>
      </c>
      <c r="W34" s="15">
        <f t="shared" si="75"/>
        <v>0</v>
      </c>
      <c r="X34" s="15">
        <f t="shared" si="5"/>
        <v>0</v>
      </c>
      <c r="Y34" s="15">
        <f t="shared" si="75"/>
        <v>0</v>
      </c>
      <c r="Z34" s="15">
        <f t="shared" si="6"/>
        <v>0</v>
      </c>
      <c r="AA34" s="15">
        <f t="shared" si="75"/>
        <v>0</v>
      </c>
      <c r="AB34" s="15">
        <f t="shared" si="7"/>
        <v>0</v>
      </c>
      <c r="AC34" s="15">
        <f t="shared" si="76"/>
        <v>0</v>
      </c>
      <c r="AD34" s="15">
        <f t="shared" si="67"/>
        <v>0</v>
      </c>
      <c r="AE34" s="15">
        <f t="shared" si="77"/>
        <v>0</v>
      </c>
      <c r="AF34" s="15">
        <f t="shared" si="9"/>
        <v>0</v>
      </c>
      <c r="AG34" s="15">
        <f t="shared" si="78"/>
        <v>0</v>
      </c>
      <c r="AH34" s="15">
        <f t="shared" si="11"/>
        <v>0</v>
      </c>
      <c r="AI34" s="15">
        <f t="shared" si="79"/>
        <v>0</v>
      </c>
      <c r="AJ34" s="15">
        <f t="shared" si="13"/>
        <v>0</v>
      </c>
      <c r="AK34" s="15">
        <f t="shared" si="80"/>
        <v>0</v>
      </c>
      <c r="AL34" s="15">
        <f t="shared" si="15"/>
        <v>0</v>
      </c>
      <c r="AM34" s="15">
        <f t="shared" si="81"/>
        <v>0</v>
      </c>
      <c r="AN34" s="15">
        <f t="shared" si="17"/>
        <v>0</v>
      </c>
      <c r="AO34" s="15">
        <f t="shared" si="82"/>
        <v>0</v>
      </c>
      <c r="AP34" s="15">
        <f t="shared" si="19"/>
        <v>0</v>
      </c>
      <c r="AQ34" s="15">
        <f t="shared" si="83"/>
        <v>0</v>
      </c>
      <c r="AR34" s="15">
        <f t="shared" si="21"/>
        <v>0</v>
      </c>
      <c r="AS34" s="15">
        <f t="shared" si="84"/>
        <v>0</v>
      </c>
      <c r="AT34" s="15">
        <f t="shared" si="23"/>
        <v>0</v>
      </c>
      <c r="AU34" s="15">
        <f t="shared" si="85"/>
        <v>0</v>
      </c>
      <c r="AV34" s="15">
        <f t="shared" si="25"/>
        <v>0</v>
      </c>
      <c r="AW34" s="15">
        <f t="shared" si="86"/>
        <v>0</v>
      </c>
      <c r="AX34" s="15">
        <f t="shared" si="27"/>
        <v>0</v>
      </c>
      <c r="AY34" s="15">
        <f t="shared" si="87"/>
        <v>0</v>
      </c>
      <c r="AZ34" s="15">
        <f t="shared" si="29"/>
        <v>0</v>
      </c>
      <c r="BA34" s="15">
        <f t="shared" si="88"/>
        <v>0</v>
      </c>
      <c r="BB34" s="15">
        <f t="shared" si="31"/>
        <v>0</v>
      </c>
      <c r="BC34" s="15">
        <f t="shared" si="89"/>
        <v>0</v>
      </c>
      <c r="BD34" s="15">
        <f t="shared" si="33"/>
        <v>0</v>
      </c>
      <c r="BE34" s="15">
        <f t="shared" si="90"/>
        <v>0</v>
      </c>
      <c r="BF34" s="15">
        <f t="shared" si="35"/>
        <v>0</v>
      </c>
      <c r="BG34" s="15">
        <f t="shared" si="91"/>
        <v>0</v>
      </c>
      <c r="BH34" s="15">
        <f t="shared" si="37"/>
        <v>0</v>
      </c>
      <c r="BI34" s="15">
        <f t="shared" si="92"/>
        <v>0</v>
      </c>
      <c r="BJ34" s="15">
        <f t="shared" si="39"/>
        <v>0</v>
      </c>
      <c r="BK34" s="15">
        <f t="shared" si="93"/>
        <v>0</v>
      </c>
      <c r="BL34" s="15">
        <f t="shared" si="41"/>
        <v>0</v>
      </c>
      <c r="BM34" s="15">
        <f t="shared" si="94"/>
        <v>0</v>
      </c>
      <c r="BN34" s="15">
        <f t="shared" si="43"/>
        <v>0</v>
      </c>
      <c r="BO34" s="15">
        <f t="shared" si="44"/>
        <v>0</v>
      </c>
      <c r="BP34" s="15">
        <f t="shared" si="45"/>
        <v>0</v>
      </c>
      <c r="BQ34" s="15">
        <f t="shared" si="46"/>
        <v>0</v>
      </c>
      <c r="BR34" s="15">
        <f t="shared" si="47"/>
        <v>0</v>
      </c>
      <c r="BS34" s="15">
        <f t="shared" si="48"/>
        <v>0</v>
      </c>
      <c r="BT34" s="15">
        <f t="shared" si="49"/>
        <v>0</v>
      </c>
      <c r="BU34" s="15">
        <f t="shared" si="50"/>
        <v>0</v>
      </c>
      <c r="BV34" s="15">
        <f t="shared" si="51"/>
        <v>0</v>
      </c>
      <c r="BW34" s="15">
        <f t="shared" si="52"/>
        <v>0</v>
      </c>
      <c r="BX34" s="15">
        <f t="shared" si="53"/>
        <v>0</v>
      </c>
      <c r="BY34" s="15">
        <f t="shared" si="54"/>
        <v>0</v>
      </c>
      <c r="BZ34" s="15">
        <f t="shared" si="55"/>
        <v>0</v>
      </c>
      <c r="CA34" s="15">
        <f t="shared" si="56"/>
        <v>0</v>
      </c>
      <c r="CB34" s="15">
        <f t="shared" si="57"/>
        <v>0</v>
      </c>
      <c r="CC34" s="15">
        <f t="shared" si="58"/>
        <v>0</v>
      </c>
      <c r="CD34" s="15">
        <f t="shared" si="59"/>
        <v>0</v>
      </c>
      <c r="CE34" s="15">
        <f t="shared" si="60"/>
        <v>0</v>
      </c>
      <c r="CF34" s="15">
        <f t="shared" si="61"/>
        <v>0</v>
      </c>
      <c r="CG34" s="15">
        <f t="shared" si="60"/>
        <v>0</v>
      </c>
      <c r="CH34" s="15">
        <f t="shared" si="62"/>
        <v>0</v>
      </c>
      <c r="CI34" s="15">
        <f t="shared" si="60"/>
        <v>0</v>
      </c>
      <c r="CJ34" s="15">
        <f t="shared" si="63"/>
        <v>0</v>
      </c>
      <c r="CK34" s="15">
        <f t="shared" si="60"/>
        <v>0</v>
      </c>
      <c r="CL34" s="15">
        <f t="shared" si="64"/>
        <v>0</v>
      </c>
      <c r="CM34" s="15">
        <f t="shared" si="60"/>
        <v>0</v>
      </c>
      <c r="CN34" s="15">
        <f t="shared" si="68"/>
        <v>0</v>
      </c>
      <c r="CO34" s="15">
        <f t="shared" si="60"/>
        <v>0</v>
      </c>
      <c r="CP34" s="15">
        <f t="shared" si="69"/>
        <v>0</v>
      </c>
      <c r="CQ34" s="15">
        <f t="shared" si="60"/>
        <v>0</v>
      </c>
      <c r="CR34" s="15">
        <f t="shared" si="70"/>
        <v>0</v>
      </c>
      <c r="CS34" s="2">
        <f t="shared" si="71"/>
        <v>4</v>
      </c>
      <c r="CT34" s="2">
        <f>IFERROR((VLOOKUP(A34,'Quad-Tech'!$F$1:$G$17,2,FALSE)),0)</f>
        <v>0</v>
      </c>
    </row>
    <row r="35" spans="1:98" ht="20.25" customHeight="1">
      <c r="A35" s="91">
        <f t="shared" si="72"/>
        <v>45012</v>
      </c>
      <c r="B35" s="92"/>
      <c r="C35" s="93"/>
      <c r="D35" s="41" t="str">
        <f>VLOOKUP(A35,'Quad-Tech'!A28:B392,2,FALSE)</f>
        <v>Mon</v>
      </c>
      <c r="E35" s="94" t="s">
        <v>143</v>
      </c>
      <c r="F35" s="95"/>
      <c r="G35" s="96"/>
      <c r="H35" s="74"/>
      <c r="I35" s="73"/>
      <c r="J35" s="94" t="s">
        <v>143</v>
      </c>
      <c r="K35" s="95"/>
      <c r="L35" s="95"/>
      <c r="M35" s="96"/>
      <c r="N35" s="33"/>
      <c r="O35" s="34"/>
      <c r="P35" s="32"/>
      <c r="Q35" s="16">
        <f t="shared" si="65"/>
        <v>0</v>
      </c>
      <c r="R35" s="15">
        <f t="shared" si="66"/>
        <v>0</v>
      </c>
      <c r="S35" s="15">
        <f t="shared" si="73"/>
        <v>0</v>
      </c>
      <c r="T35" s="15">
        <f t="shared" si="1"/>
        <v>0</v>
      </c>
      <c r="U35" s="15">
        <f t="shared" si="74"/>
        <v>0</v>
      </c>
      <c r="V35" s="15">
        <f t="shared" si="3"/>
        <v>0</v>
      </c>
      <c r="W35" s="15">
        <f t="shared" si="75"/>
        <v>0</v>
      </c>
      <c r="X35" s="15">
        <f t="shared" si="5"/>
        <v>0</v>
      </c>
      <c r="Y35" s="15">
        <f t="shared" si="75"/>
        <v>0</v>
      </c>
      <c r="Z35" s="15">
        <f t="shared" si="6"/>
        <v>0</v>
      </c>
      <c r="AA35" s="15">
        <f t="shared" si="75"/>
        <v>0</v>
      </c>
      <c r="AB35" s="15">
        <f t="shared" si="7"/>
        <v>0</v>
      </c>
      <c r="AC35" s="15">
        <f t="shared" si="76"/>
        <v>0</v>
      </c>
      <c r="AD35" s="15">
        <f t="shared" si="67"/>
        <v>0</v>
      </c>
      <c r="AE35" s="15">
        <f t="shared" si="77"/>
        <v>0</v>
      </c>
      <c r="AF35" s="15">
        <f t="shared" si="9"/>
        <v>0</v>
      </c>
      <c r="AG35" s="15">
        <f t="shared" si="78"/>
        <v>0</v>
      </c>
      <c r="AH35" s="15">
        <f t="shared" si="11"/>
        <v>0</v>
      </c>
      <c r="AI35" s="15">
        <f t="shared" si="79"/>
        <v>0</v>
      </c>
      <c r="AJ35" s="15">
        <f t="shared" si="13"/>
        <v>0</v>
      </c>
      <c r="AK35" s="15">
        <f t="shared" si="80"/>
        <v>0</v>
      </c>
      <c r="AL35" s="15">
        <f t="shared" si="15"/>
        <v>0</v>
      </c>
      <c r="AM35" s="15">
        <f t="shared" si="81"/>
        <v>0</v>
      </c>
      <c r="AN35" s="15">
        <f t="shared" si="17"/>
        <v>0</v>
      </c>
      <c r="AO35" s="15">
        <f t="shared" si="82"/>
        <v>0</v>
      </c>
      <c r="AP35" s="15">
        <f t="shared" si="19"/>
        <v>0</v>
      </c>
      <c r="AQ35" s="15">
        <f t="shared" si="83"/>
        <v>0</v>
      </c>
      <c r="AR35" s="15">
        <f t="shared" si="21"/>
        <v>0</v>
      </c>
      <c r="AS35" s="15">
        <f t="shared" si="84"/>
        <v>0</v>
      </c>
      <c r="AT35" s="15">
        <f t="shared" si="23"/>
        <v>0</v>
      </c>
      <c r="AU35" s="15">
        <f t="shared" si="85"/>
        <v>0</v>
      </c>
      <c r="AV35" s="15">
        <f t="shared" si="25"/>
        <v>0</v>
      </c>
      <c r="AW35" s="15">
        <f t="shared" si="86"/>
        <v>0</v>
      </c>
      <c r="AX35" s="15">
        <f t="shared" si="27"/>
        <v>0</v>
      </c>
      <c r="AY35" s="15">
        <f t="shared" si="87"/>
        <v>0</v>
      </c>
      <c r="AZ35" s="15">
        <f t="shared" si="29"/>
        <v>0</v>
      </c>
      <c r="BA35" s="15">
        <f t="shared" si="88"/>
        <v>1</v>
      </c>
      <c r="BB35" s="15">
        <f t="shared" si="31"/>
        <v>1</v>
      </c>
      <c r="BC35" s="15">
        <f t="shared" si="89"/>
        <v>0</v>
      </c>
      <c r="BD35" s="15">
        <f t="shared" si="33"/>
        <v>0</v>
      </c>
      <c r="BE35" s="15">
        <f t="shared" si="90"/>
        <v>0</v>
      </c>
      <c r="BF35" s="15">
        <f t="shared" si="35"/>
        <v>0</v>
      </c>
      <c r="BG35" s="15">
        <f t="shared" si="91"/>
        <v>0</v>
      </c>
      <c r="BH35" s="15">
        <f t="shared" si="37"/>
        <v>0</v>
      </c>
      <c r="BI35" s="15">
        <f t="shared" si="92"/>
        <v>0</v>
      </c>
      <c r="BJ35" s="15">
        <f t="shared" si="39"/>
        <v>0</v>
      </c>
      <c r="BK35" s="15">
        <f t="shared" si="93"/>
        <v>0</v>
      </c>
      <c r="BL35" s="15">
        <f t="shared" si="41"/>
        <v>0</v>
      </c>
      <c r="BM35" s="15">
        <f t="shared" si="94"/>
        <v>0</v>
      </c>
      <c r="BN35" s="15">
        <f t="shared" si="43"/>
        <v>0</v>
      </c>
      <c r="BO35" s="15">
        <f t="shared" si="44"/>
        <v>0</v>
      </c>
      <c r="BP35" s="15">
        <f t="shared" si="45"/>
        <v>0</v>
      </c>
      <c r="BQ35" s="15">
        <f t="shared" si="46"/>
        <v>0</v>
      </c>
      <c r="BR35" s="15">
        <f t="shared" si="47"/>
        <v>0</v>
      </c>
      <c r="BS35" s="15">
        <f t="shared" si="48"/>
        <v>0</v>
      </c>
      <c r="BT35" s="15">
        <f t="shared" si="49"/>
        <v>0</v>
      </c>
      <c r="BU35" s="15">
        <f t="shared" si="50"/>
        <v>0</v>
      </c>
      <c r="BV35" s="15">
        <f t="shared" si="51"/>
        <v>0</v>
      </c>
      <c r="BW35" s="15">
        <f t="shared" si="52"/>
        <v>0</v>
      </c>
      <c r="BX35" s="15">
        <f t="shared" si="53"/>
        <v>0</v>
      </c>
      <c r="BY35" s="15">
        <f t="shared" si="54"/>
        <v>0</v>
      </c>
      <c r="BZ35" s="15">
        <f t="shared" si="55"/>
        <v>0</v>
      </c>
      <c r="CA35" s="15">
        <f t="shared" si="56"/>
        <v>0</v>
      </c>
      <c r="CB35" s="15">
        <f t="shared" si="57"/>
        <v>0</v>
      </c>
      <c r="CC35" s="15">
        <f t="shared" si="58"/>
        <v>0</v>
      </c>
      <c r="CD35" s="15">
        <f t="shared" si="59"/>
        <v>0</v>
      </c>
      <c r="CE35" s="15">
        <f t="shared" si="60"/>
        <v>0</v>
      </c>
      <c r="CF35" s="15">
        <f t="shared" si="61"/>
        <v>0</v>
      </c>
      <c r="CG35" s="15">
        <f t="shared" si="60"/>
        <v>0</v>
      </c>
      <c r="CH35" s="15">
        <f t="shared" si="62"/>
        <v>0</v>
      </c>
      <c r="CI35" s="15">
        <f t="shared" si="60"/>
        <v>0</v>
      </c>
      <c r="CJ35" s="15">
        <f t="shared" si="63"/>
        <v>0</v>
      </c>
      <c r="CK35" s="15">
        <f t="shared" si="60"/>
        <v>0</v>
      </c>
      <c r="CL35" s="15">
        <f t="shared" si="64"/>
        <v>0</v>
      </c>
      <c r="CM35" s="15">
        <f t="shared" si="60"/>
        <v>0</v>
      </c>
      <c r="CN35" s="15">
        <f t="shared" si="68"/>
        <v>0</v>
      </c>
      <c r="CO35" s="15">
        <f t="shared" si="60"/>
        <v>0</v>
      </c>
      <c r="CP35" s="15">
        <f t="shared" si="69"/>
        <v>0</v>
      </c>
      <c r="CQ35" s="15">
        <f t="shared" si="60"/>
        <v>0</v>
      </c>
      <c r="CR35" s="15">
        <f t="shared" si="70"/>
        <v>0</v>
      </c>
      <c r="CS35" s="2">
        <f t="shared" si="71"/>
        <v>4</v>
      </c>
      <c r="CT35" s="2">
        <f>IFERROR((VLOOKUP(A35,'Quad-Tech'!$F$1:$G$17,2,FALSE)),0)</f>
        <v>0</v>
      </c>
    </row>
    <row r="36" spans="1:98" ht="20.25" customHeight="1">
      <c r="A36" s="91">
        <f t="shared" si="72"/>
        <v>45013</v>
      </c>
      <c r="B36" s="92"/>
      <c r="C36" s="93"/>
      <c r="D36" s="41" t="str">
        <f>VLOOKUP(A36,'Quad-Tech'!A29:B393,2,FALSE)</f>
        <v>Tue</v>
      </c>
      <c r="E36" s="94" t="s">
        <v>143</v>
      </c>
      <c r="F36" s="95"/>
      <c r="G36" s="96"/>
      <c r="H36" s="74"/>
      <c r="I36" s="73"/>
      <c r="J36" s="94" t="s">
        <v>143</v>
      </c>
      <c r="K36" s="95"/>
      <c r="L36" s="95"/>
      <c r="M36" s="96"/>
      <c r="N36" s="33"/>
      <c r="O36" s="34"/>
      <c r="P36" s="32"/>
      <c r="Q36" s="16">
        <f t="shared" si="65"/>
        <v>0</v>
      </c>
      <c r="R36" s="15">
        <f t="shared" si="66"/>
        <v>0</v>
      </c>
      <c r="S36" s="15">
        <f t="shared" si="73"/>
        <v>0</v>
      </c>
      <c r="T36" s="15">
        <f t="shared" si="1"/>
        <v>0</v>
      </c>
      <c r="U36" s="15">
        <f t="shared" si="74"/>
        <v>0</v>
      </c>
      <c r="V36" s="15">
        <f t="shared" si="3"/>
        <v>0</v>
      </c>
      <c r="W36" s="15">
        <f t="shared" si="75"/>
        <v>0</v>
      </c>
      <c r="X36" s="15">
        <f t="shared" si="5"/>
        <v>0</v>
      </c>
      <c r="Y36" s="15">
        <f t="shared" si="75"/>
        <v>0</v>
      </c>
      <c r="Z36" s="15">
        <f t="shared" si="6"/>
        <v>0</v>
      </c>
      <c r="AA36" s="15">
        <f t="shared" si="75"/>
        <v>0</v>
      </c>
      <c r="AB36" s="15">
        <f t="shared" si="7"/>
        <v>0</v>
      </c>
      <c r="AC36" s="15">
        <f t="shared" si="76"/>
        <v>0</v>
      </c>
      <c r="AD36" s="15">
        <f t="shared" si="67"/>
        <v>0</v>
      </c>
      <c r="AE36" s="15">
        <f t="shared" si="77"/>
        <v>0</v>
      </c>
      <c r="AF36" s="15">
        <f t="shared" si="9"/>
        <v>0</v>
      </c>
      <c r="AG36" s="15">
        <f t="shared" si="78"/>
        <v>0</v>
      </c>
      <c r="AH36" s="15">
        <f t="shared" si="11"/>
        <v>0</v>
      </c>
      <c r="AI36" s="15">
        <f t="shared" si="79"/>
        <v>0</v>
      </c>
      <c r="AJ36" s="15">
        <f t="shared" si="13"/>
        <v>0</v>
      </c>
      <c r="AK36" s="15">
        <f t="shared" si="80"/>
        <v>0</v>
      </c>
      <c r="AL36" s="15">
        <f t="shared" si="15"/>
        <v>0</v>
      </c>
      <c r="AM36" s="15">
        <f t="shared" si="81"/>
        <v>0</v>
      </c>
      <c r="AN36" s="15">
        <f t="shared" si="17"/>
        <v>0</v>
      </c>
      <c r="AO36" s="15">
        <f t="shared" si="82"/>
        <v>0</v>
      </c>
      <c r="AP36" s="15">
        <f t="shared" si="19"/>
        <v>0</v>
      </c>
      <c r="AQ36" s="15">
        <f t="shared" si="83"/>
        <v>0</v>
      </c>
      <c r="AR36" s="15">
        <f t="shared" si="21"/>
        <v>0</v>
      </c>
      <c r="AS36" s="15">
        <f t="shared" si="84"/>
        <v>0</v>
      </c>
      <c r="AT36" s="15">
        <f t="shared" si="23"/>
        <v>0</v>
      </c>
      <c r="AU36" s="15">
        <f t="shared" si="85"/>
        <v>0</v>
      </c>
      <c r="AV36" s="15">
        <f t="shared" si="25"/>
        <v>0</v>
      </c>
      <c r="AW36" s="15">
        <f t="shared" si="86"/>
        <v>0</v>
      </c>
      <c r="AX36" s="15">
        <f t="shared" si="27"/>
        <v>0</v>
      </c>
      <c r="AY36" s="15">
        <f t="shared" si="87"/>
        <v>0</v>
      </c>
      <c r="AZ36" s="15">
        <f t="shared" si="29"/>
        <v>0</v>
      </c>
      <c r="BA36" s="15">
        <f t="shared" si="88"/>
        <v>1</v>
      </c>
      <c r="BB36" s="15">
        <f t="shared" si="31"/>
        <v>1</v>
      </c>
      <c r="BC36" s="15">
        <f t="shared" si="89"/>
        <v>0</v>
      </c>
      <c r="BD36" s="15">
        <f t="shared" si="33"/>
        <v>0</v>
      </c>
      <c r="BE36" s="15">
        <f t="shared" si="90"/>
        <v>0</v>
      </c>
      <c r="BF36" s="15">
        <f t="shared" si="35"/>
        <v>0</v>
      </c>
      <c r="BG36" s="15">
        <f t="shared" si="91"/>
        <v>0</v>
      </c>
      <c r="BH36" s="15">
        <f t="shared" si="37"/>
        <v>0</v>
      </c>
      <c r="BI36" s="15">
        <f t="shared" si="92"/>
        <v>0</v>
      </c>
      <c r="BJ36" s="15">
        <f t="shared" si="39"/>
        <v>0</v>
      </c>
      <c r="BK36" s="15">
        <f t="shared" si="93"/>
        <v>0</v>
      </c>
      <c r="BL36" s="15">
        <f t="shared" si="41"/>
        <v>0</v>
      </c>
      <c r="BM36" s="15">
        <f t="shared" si="94"/>
        <v>0</v>
      </c>
      <c r="BN36" s="15">
        <f t="shared" si="43"/>
        <v>0</v>
      </c>
      <c r="BO36" s="15">
        <f t="shared" si="44"/>
        <v>0</v>
      </c>
      <c r="BP36" s="15">
        <f t="shared" si="45"/>
        <v>0</v>
      </c>
      <c r="BQ36" s="15">
        <f t="shared" si="46"/>
        <v>0</v>
      </c>
      <c r="BR36" s="15">
        <f t="shared" si="47"/>
        <v>0</v>
      </c>
      <c r="BS36" s="15">
        <f t="shared" si="48"/>
        <v>0</v>
      </c>
      <c r="BT36" s="15">
        <f t="shared" si="49"/>
        <v>0</v>
      </c>
      <c r="BU36" s="15">
        <f t="shared" si="50"/>
        <v>0</v>
      </c>
      <c r="BV36" s="15">
        <f t="shared" si="51"/>
        <v>0</v>
      </c>
      <c r="BW36" s="15">
        <f t="shared" si="52"/>
        <v>0</v>
      </c>
      <c r="BX36" s="15">
        <f t="shared" si="53"/>
        <v>0</v>
      </c>
      <c r="BY36" s="15">
        <f t="shared" si="54"/>
        <v>0</v>
      </c>
      <c r="BZ36" s="15">
        <f t="shared" si="55"/>
        <v>0</v>
      </c>
      <c r="CA36" s="15">
        <f t="shared" si="56"/>
        <v>0</v>
      </c>
      <c r="CB36" s="15">
        <f t="shared" si="57"/>
        <v>0</v>
      </c>
      <c r="CC36" s="15">
        <f t="shared" si="58"/>
        <v>0</v>
      </c>
      <c r="CD36" s="15">
        <f t="shared" si="59"/>
        <v>0</v>
      </c>
      <c r="CE36" s="15">
        <f t="shared" si="60"/>
        <v>0</v>
      </c>
      <c r="CF36" s="15">
        <f t="shared" si="61"/>
        <v>0</v>
      </c>
      <c r="CG36" s="15">
        <f t="shared" si="60"/>
        <v>0</v>
      </c>
      <c r="CH36" s="15">
        <f t="shared" si="62"/>
        <v>0</v>
      </c>
      <c r="CI36" s="15">
        <f t="shared" si="60"/>
        <v>0</v>
      </c>
      <c r="CJ36" s="15">
        <f t="shared" si="63"/>
        <v>0</v>
      </c>
      <c r="CK36" s="15">
        <f t="shared" si="60"/>
        <v>0</v>
      </c>
      <c r="CL36" s="15">
        <f t="shared" si="64"/>
        <v>0</v>
      </c>
      <c r="CM36" s="15">
        <f t="shared" si="60"/>
        <v>0</v>
      </c>
      <c r="CN36" s="15">
        <f t="shared" si="68"/>
        <v>0</v>
      </c>
      <c r="CO36" s="15">
        <f t="shared" si="60"/>
        <v>0</v>
      </c>
      <c r="CP36" s="15">
        <f t="shared" si="69"/>
        <v>0</v>
      </c>
      <c r="CQ36" s="15">
        <f t="shared" si="60"/>
        <v>0</v>
      </c>
      <c r="CR36" s="15">
        <f t="shared" si="70"/>
        <v>0</v>
      </c>
      <c r="CS36" s="2">
        <f t="shared" si="71"/>
        <v>4</v>
      </c>
      <c r="CT36" s="2">
        <f>IFERROR((VLOOKUP(A36,'Quad-Tech'!$F$1:$G$17,2,FALSE)),0)</f>
        <v>0</v>
      </c>
    </row>
    <row r="37" spans="1:98" ht="20.25" customHeight="1">
      <c r="A37" s="91">
        <f>IF(N3="Feb","",A36+1)</f>
        <v>45014</v>
      </c>
      <c r="B37" s="92"/>
      <c r="C37" s="93"/>
      <c r="D37" s="41" t="str">
        <f>IFERROR((VLOOKUP(A37,'Quad-Tech'!A30:B394,2,FALSE)),"")</f>
        <v>Wed</v>
      </c>
      <c r="E37" s="94" t="s">
        <v>143</v>
      </c>
      <c r="F37" s="95"/>
      <c r="G37" s="96"/>
      <c r="H37" s="74"/>
      <c r="I37" s="73"/>
      <c r="J37" s="94" t="s">
        <v>143</v>
      </c>
      <c r="K37" s="95"/>
      <c r="L37" s="95"/>
      <c r="M37" s="96"/>
      <c r="N37" s="33"/>
      <c r="O37" s="34"/>
      <c r="P37" s="32"/>
      <c r="Q37" s="16">
        <f t="shared" si="65"/>
        <v>0</v>
      </c>
      <c r="R37" s="15">
        <f t="shared" si="66"/>
        <v>0</v>
      </c>
      <c r="S37" s="15">
        <f t="shared" si="73"/>
        <v>0</v>
      </c>
      <c r="T37" s="15">
        <f t="shared" si="1"/>
        <v>0</v>
      </c>
      <c r="U37" s="15">
        <f t="shared" si="74"/>
        <v>0</v>
      </c>
      <c r="V37" s="15">
        <f t="shared" si="3"/>
        <v>0</v>
      </c>
      <c r="W37" s="15">
        <f t="shared" si="75"/>
        <v>0</v>
      </c>
      <c r="X37" s="15">
        <f t="shared" si="5"/>
        <v>0</v>
      </c>
      <c r="Y37" s="15">
        <f t="shared" si="75"/>
        <v>0</v>
      </c>
      <c r="Z37" s="15">
        <f t="shared" si="6"/>
        <v>0</v>
      </c>
      <c r="AA37" s="15">
        <f t="shared" si="75"/>
        <v>0</v>
      </c>
      <c r="AB37" s="15">
        <f t="shared" si="7"/>
        <v>0</v>
      </c>
      <c r="AC37" s="15">
        <f t="shared" si="76"/>
        <v>0</v>
      </c>
      <c r="AD37" s="15">
        <f t="shared" si="67"/>
        <v>0</v>
      </c>
      <c r="AE37" s="15">
        <f t="shared" si="77"/>
        <v>0</v>
      </c>
      <c r="AF37" s="15">
        <f t="shared" si="9"/>
        <v>0</v>
      </c>
      <c r="AG37" s="15">
        <f t="shared" si="78"/>
        <v>0</v>
      </c>
      <c r="AH37" s="15">
        <f t="shared" si="11"/>
        <v>0</v>
      </c>
      <c r="AI37" s="15">
        <f t="shared" si="79"/>
        <v>0</v>
      </c>
      <c r="AJ37" s="15">
        <f t="shared" si="13"/>
        <v>0</v>
      </c>
      <c r="AK37" s="15">
        <f t="shared" si="80"/>
        <v>0</v>
      </c>
      <c r="AL37" s="15">
        <f t="shared" si="15"/>
        <v>0</v>
      </c>
      <c r="AM37" s="15">
        <f t="shared" si="81"/>
        <v>0</v>
      </c>
      <c r="AN37" s="15">
        <f t="shared" si="17"/>
        <v>0</v>
      </c>
      <c r="AO37" s="15">
        <f t="shared" si="82"/>
        <v>0</v>
      </c>
      <c r="AP37" s="15">
        <f t="shared" si="19"/>
        <v>0</v>
      </c>
      <c r="AQ37" s="15">
        <f t="shared" si="83"/>
        <v>0</v>
      </c>
      <c r="AR37" s="15">
        <f t="shared" si="21"/>
        <v>0</v>
      </c>
      <c r="AS37" s="15">
        <f t="shared" si="84"/>
        <v>0</v>
      </c>
      <c r="AT37" s="15">
        <f t="shared" si="23"/>
        <v>0</v>
      </c>
      <c r="AU37" s="15">
        <f t="shared" si="85"/>
        <v>0</v>
      </c>
      <c r="AV37" s="15">
        <f t="shared" si="25"/>
        <v>0</v>
      </c>
      <c r="AW37" s="15">
        <f t="shared" si="86"/>
        <v>0</v>
      </c>
      <c r="AX37" s="15">
        <f t="shared" si="27"/>
        <v>0</v>
      </c>
      <c r="AY37" s="15">
        <f t="shared" si="87"/>
        <v>0</v>
      </c>
      <c r="AZ37" s="15">
        <f t="shared" si="29"/>
        <v>0</v>
      </c>
      <c r="BA37" s="15">
        <f t="shared" si="88"/>
        <v>1</v>
      </c>
      <c r="BB37" s="15">
        <f t="shared" si="31"/>
        <v>1</v>
      </c>
      <c r="BC37" s="15">
        <f t="shared" si="89"/>
        <v>0</v>
      </c>
      <c r="BD37" s="15">
        <f t="shared" si="33"/>
        <v>0</v>
      </c>
      <c r="BE37" s="15">
        <f t="shared" si="90"/>
        <v>0</v>
      </c>
      <c r="BF37" s="15">
        <f t="shared" si="35"/>
        <v>0</v>
      </c>
      <c r="BG37" s="15">
        <f t="shared" si="91"/>
        <v>0</v>
      </c>
      <c r="BH37" s="15">
        <f t="shared" si="37"/>
        <v>0</v>
      </c>
      <c r="BI37" s="15">
        <f t="shared" si="92"/>
        <v>0</v>
      </c>
      <c r="BJ37" s="15">
        <f t="shared" si="39"/>
        <v>0</v>
      </c>
      <c r="BK37" s="15">
        <f t="shared" si="93"/>
        <v>0</v>
      </c>
      <c r="BL37" s="15">
        <f t="shared" si="41"/>
        <v>0</v>
      </c>
      <c r="BM37" s="15">
        <f t="shared" si="94"/>
        <v>0</v>
      </c>
      <c r="BN37" s="15">
        <f t="shared" si="43"/>
        <v>0</v>
      </c>
      <c r="BO37" s="15">
        <f t="shared" si="44"/>
        <v>0</v>
      </c>
      <c r="BP37" s="15">
        <f t="shared" si="45"/>
        <v>0</v>
      </c>
      <c r="BQ37" s="15">
        <f t="shared" si="46"/>
        <v>0</v>
      </c>
      <c r="BR37" s="15">
        <f t="shared" si="47"/>
        <v>0</v>
      </c>
      <c r="BS37" s="15">
        <f t="shared" si="48"/>
        <v>0</v>
      </c>
      <c r="BT37" s="15">
        <f t="shared" si="49"/>
        <v>0</v>
      </c>
      <c r="BU37" s="15">
        <f t="shared" si="50"/>
        <v>0</v>
      </c>
      <c r="BV37" s="15">
        <f t="shared" si="51"/>
        <v>0</v>
      </c>
      <c r="BW37" s="15">
        <f t="shared" si="52"/>
        <v>0</v>
      </c>
      <c r="BX37" s="15">
        <f t="shared" si="53"/>
        <v>0</v>
      </c>
      <c r="BY37" s="15">
        <f t="shared" si="54"/>
        <v>0</v>
      </c>
      <c r="BZ37" s="15">
        <f t="shared" si="55"/>
        <v>0</v>
      </c>
      <c r="CA37" s="15">
        <f t="shared" si="56"/>
        <v>0</v>
      </c>
      <c r="CB37" s="15">
        <f t="shared" si="57"/>
        <v>0</v>
      </c>
      <c r="CC37" s="15">
        <f t="shared" si="58"/>
        <v>0</v>
      </c>
      <c r="CD37" s="15">
        <f t="shared" si="59"/>
        <v>0</v>
      </c>
      <c r="CE37" s="15">
        <f t="shared" si="60"/>
        <v>0</v>
      </c>
      <c r="CF37" s="15">
        <f t="shared" si="61"/>
        <v>0</v>
      </c>
      <c r="CG37" s="15">
        <f t="shared" si="60"/>
        <v>0</v>
      </c>
      <c r="CH37" s="15">
        <f t="shared" si="62"/>
        <v>0</v>
      </c>
      <c r="CI37" s="15">
        <f t="shared" si="60"/>
        <v>0</v>
      </c>
      <c r="CJ37" s="15">
        <f t="shared" si="63"/>
        <v>0</v>
      </c>
      <c r="CK37" s="15">
        <f t="shared" si="60"/>
        <v>0</v>
      </c>
      <c r="CL37" s="15">
        <f t="shared" si="64"/>
        <v>0</v>
      </c>
      <c r="CM37" s="15">
        <f t="shared" si="60"/>
        <v>0</v>
      </c>
      <c r="CN37" s="15">
        <f t="shared" si="68"/>
        <v>0</v>
      </c>
      <c r="CO37" s="15">
        <f t="shared" si="60"/>
        <v>0</v>
      </c>
      <c r="CP37" s="15">
        <f t="shared" si="69"/>
        <v>0</v>
      </c>
      <c r="CQ37" s="15">
        <f t="shared" si="60"/>
        <v>0</v>
      </c>
      <c r="CR37" s="15">
        <f t="shared" si="70"/>
        <v>0</v>
      </c>
      <c r="CS37" s="2">
        <f t="shared" si="71"/>
        <v>4</v>
      </c>
      <c r="CT37" s="2">
        <f>IFERROR((VLOOKUP(A37,'Quad-Tech'!$F$1:$G$17,2,FALSE)),0)</f>
        <v>0</v>
      </c>
    </row>
    <row r="38" spans="1:98" ht="20.25" customHeight="1">
      <c r="A38" s="91">
        <f>IF(N3="Feb","",A37+1)</f>
        <v>45015</v>
      </c>
      <c r="B38" s="92"/>
      <c r="C38" s="93"/>
      <c r="D38" s="41" t="str">
        <f>IFERROR((VLOOKUP(A38,'Quad-Tech'!A31:B395,2,FALSE)),"")</f>
        <v>Thu</v>
      </c>
      <c r="E38" s="94" t="s">
        <v>143</v>
      </c>
      <c r="F38" s="95"/>
      <c r="G38" s="96"/>
      <c r="H38" s="74"/>
      <c r="I38" s="73"/>
      <c r="J38" s="94" t="s">
        <v>143</v>
      </c>
      <c r="K38" s="95"/>
      <c r="L38" s="95"/>
      <c r="M38" s="96"/>
      <c r="N38" s="33"/>
      <c r="O38" s="34"/>
      <c r="P38" s="32"/>
      <c r="Q38" s="16">
        <f t="shared" si="65"/>
        <v>0</v>
      </c>
      <c r="R38" s="15">
        <f t="shared" si="66"/>
        <v>0</v>
      </c>
      <c r="S38" s="15">
        <f t="shared" si="73"/>
        <v>0</v>
      </c>
      <c r="T38" s="15">
        <f t="shared" si="1"/>
        <v>0</v>
      </c>
      <c r="U38" s="15">
        <f t="shared" si="74"/>
        <v>0</v>
      </c>
      <c r="V38" s="15">
        <f t="shared" si="3"/>
        <v>0</v>
      </c>
      <c r="W38" s="15">
        <f t="shared" si="75"/>
        <v>0</v>
      </c>
      <c r="X38" s="15">
        <f t="shared" si="5"/>
        <v>0</v>
      </c>
      <c r="Y38" s="15">
        <f t="shared" si="75"/>
        <v>0</v>
      </c>
      <c r="Z38" s="15">
        <f t="shared" si="6"/>
        <v>0</v>
      </c>
      <c r="AA38" s="15">
        <f t="shared" si="75"/>
        <v>0</v>
      </c>
      <c r="AB38" s="15">
        <f t="shared" si="7"/>
        <v>0</v>
      </c>
      <c r="AC38" s="15">
        <f t="shared" si="76"/>
        <v>0</v>
      </c>
      <c r="AD38" s="15">
        <f t="shared" si="67"/>
        <v>0</v>
      </c>
      <c r="AE38" s="15">
        <f t="shared" si="77"/>
        <v>0</v>
      </c>
      <c r="AF38" s="15">
        <f t="shared" si="9"/>
        <v>0</v>
      </c>
      <c r="AG38" s="15">
        <f t="shared" si="78"/>
        <v>0</v>
      </c>
      <c r="AH38" s="15">
        <f t="shared" si="11"/>
        <v>0</v>
      </c>
      <c r="AI38" s="15">
        <f t="shared" si="79"/>
        <v>0</v>
      </c>
      <c r="AJ38" s="15">
        <f t="shared" si="13"/>
        <v>0</v>
      </c>
      <c r="AK38" s="15">
        <f t="shared" si="80"/>
        <v>0</v>
      </c>
      <c r="AL38" s="15">
        <f t="shared" si="15"/>
        <v>0</v>
      </c>
      <c r="AM38" s="15">
        <f t="shared" si="81"/>
        <v>0</v>
      </c>
      <c r="AN38" s="15">
        <f t="shared" si="17"/>
        <v>0</v>
      </c>
      <c r="AO38" s="15">
        <f t="shared" si="82"/>
        <v>0</v>
      </c>
      <c r="AP38" s="15">
        <f t="shared" si="19"/>
        <v>0</v>
      </c>
      <c r="AQ38" s="15">
        <f t="shared" si="83"/>
        <v>0</v>
      </c>
      <c r="AR38" s="15">
        <f t="shared" si="21"/>
        <v>0</v>
      </c>
      <c r="AS38" s="15">
        <f t="shared" si="84"/>
        <v>0</v>
      </c>
      <c r="AT38" s="15">
        <f t="shared" si="23"/>
        <v>0</v>
      </c>
      <c r="AU38" s="15">
        <f t="shared" si="85"/>
        <v>0</v>
      </c>
      <c r="AV38" s="15">
        <f t="shared" si="25"/>
        <v>0</v>
      </c>
      <c r="AW38" s="15">
        <f t="shared" si="86"/>
        <v>0</v>
      </c>
      <c r="AX38" s="15">
        <f t="shared" si="27"/>
        <v>0</v>
      </c>
      <c r="AY38" s="15">
        <f t="shared" si="87"/>
        <v>0</v>
      </c>
      <c r="AZ38" s="15">
        <f t="shared" si="29"/>
        <v>0</v>
      </c>
      <c r="BA38" s="15">
        <f t="shared" si="88"/>
        <v>1</v>
      </c>
      <c r="BB38" s="15">
        <f t="shared" si="31"/>
        <v>1</v>
      </c>
      <c r="BC38" s="15">
        <f t="shared" si="89"/>
        <v>0</v>
      </c>
      <c r="BD38" s="15">
        <f t="shared" si="33"/>
        <v>0</v>
      </c>
      <c r="BE38" s="15">
        <f t="shared" si="90"/>
        <v>0</v>
      </c>
      <c r="BF38" s="15">
        <f t="shared" si="35"/>
        <v>0</v>
      </c>
      <c r="BG38" s="15">
        <f t="shared" si="91"/>
        <v>0</v>
      </c>
      <c r="BH38" s="15">
        <f t="shared" si="37"/>
        <v>0</v>
      </c>
      <c r="BI38" s="15">
        <f t="shared" si="92"/>
        <v>0</v>
      </c>
      <c r="BJ38" s="15">
        <f t="shared" si="39"/>
        <v>0</v>
      </c>
      <c r="BK38" s="15">
        <f t="shared" si="93"/>
        <v>0</v>
      </c>
      <c r="BL38" s="15">
        <f t="shared" si="41"/>
        <v>0</v>
      </c>
      <c r="BM38" s="15">
        <f t="shared" si="94"/>
        <v>0</v>
      </c>
      <c r="BN38" s="15">
        <f t="shared" si="43"/>
        <v>0</v>
      </c>
      <c r="BO38" s="15">
        <f t="shared" si="44"/>
        <v>0</v>
      </c>
      <c r="BP38" s="15">
        <f t="shared" si="45"/>
        <v>0</v>
      </c>
      <c r="BQ38" s="15">
        <f t="shared" si="46"/>
        <v>0</v>
      </c>
      <c r="BR38" s="15">
        <f t="shared" si="47"/>
        <v>0</v>
      </c>
      <c r="BS38" s="15">
        <f t="shared" si="48"/>
        <v>0</v>
      </c>
      <c r="BT38" s="15">
        <f t="shared" si="49"/>
        <v>0</v>
      </c>
      <c r="BU38" s="15">
        <f t="shared" si="50"/>
        <v>0</v>
      </c>
      <c r="BV38" s="15">
        <f t="shared" si="51"/>
        <v>0</v>
      </c>
      <c r="BW38" s="15">
        <f t="shared" si="52"/>
        <v>0</v>
      </c>
      <c r="BX38" s="15">
        <f t="shared" si="53"/>
        <v>0</v>
      </c>
      <c r="BY38" s="15">
        <f t="shared" si="54"/>
        <v>0</v>
      </c>
      <c r="BZ38" s="15">
        <f t="shared" si="55"/>
        <v>0</v>
      </c>
      <c r="CA38" s="15">
        <f t="shared" si="56"/>
        <v>0</v>
      </c>
      <c r="CB38" s="15">
        <f t="shared" si="57"/>
        <v>0</v>
      </c>
      <c r="CC38" s="15">
        <f t="shared" si="58"/>
        <v>0</v>
      </c>
      <c r="CD38" s="15">
        <f t="shared" si="59"/>
        <v>0</v>
      </c>
      <c r="CE38" s="15">
        <f t="shared" si="60"/>
        <v>0</v>
      </c>
      <c r="CF38" s="15">
        <f t="shared" si="61"/>
        <v>0</v>
      </c>
      <c r="CG38" s="15">
        <f t="shared" si="60"/>
        <v>0</v>
      </c>
      <c r="CH38" s="15">
        <f t="shared" si="62"/>
        <v>0</v>
      </c>
      <c r="CI38" s="15">
        <f t="shared" si="60"/>
        <v>0</v>
      </c>
      <c r="CJ38" s="15">
        <f t="shared" si="63"/>
        <v>0</v>
      </c>
      <c r="CK38" s="15">
        <f t="shared" si="60"/>
        <v>0</v>
      </c>
      <c r="CL38" s="15">
        <f t="shared" si="64"/>
        <v>0</v>
      </c>
      <c r="CM38" s="15">
        <f t="shared" si="60"/>
        <v>0</v>
      </c>
      <c r="CN38" s="15">
        <f t="shared" si="68"/>
        <v>0</v>
      </c>
      <c r="CO38" s="15">
        <f t="shared" si="60"/>
        <v>0</v>
      </c>
      <c r="CP38" s="15">
        <f t="shared" si="69"/>
        <v>0</v>
      </c>
      <c r="CQ38" s="15">
        <f t="shared" si="60"/>
        <v>0</v>
      </c>
      <c r="CR38" s="15">
        <f t="shared" si="70"/>
        <v>0</v>
      </c>
      <c r="CS38" s="2">
        <f t="shared" si="71"/>
        <v>4</v>
      </c>
      <c r="CT38" s="2">
        <f>IFERROR((VLOOKUP(A38,'Quad-Tech'!$F$1:$G$17,2,FALSE)),0)</f>
        <v>0</v>
      </c>
    </row>
    <row r="39" spans="1:98" ht="20.25" customHeight="1">
      <c r="A39" s="91">
        <f>IF(N3="Feb","",IF(N3="Apr","",IF(N3="Jun","",IF(N3="Sep","",IF(N3="Nov","",A38+1)))))</f>
        <v>45016</v>
      </c>
      <c r="B39" s="92"/>
      <c r="C39" s="93"/>
      <c r="D39" s="41" t="str">
        <f>IFERROR((VLOOKUP(A39,'Quad-Tech'!A32:B396,2,FALSE)),"")</f>
        <v>Fri</v>
      </c>
      <c r="E39" s="94" t="s">
        <v>143</v>
      </c>
      <c r="F39" s="95"/>
      <c r="G39" s="96"/>
      <c r="H39" s="74"/>
      <c r="I39" s="73"/>
      <c r="J39" s="94" t="s">
        <v>143</v>
      </c>
      <c r="K39" s="95"/>
      <c r="L39" s="95"/>
      <c r="M39" s="96"/>
      <c r="N39" s="33"/>
      <c r="O39" s="34"/>
      <c r="P39" s="32"/>
      <c r="Q39" s="16">
        <f t="shared" si="65"/>
        <v>0</v>
      </c>
      <c r="R39" s="15">
        <f t="shared" si="66"/>
        <v>0</v>
      </c>
      <c r="S39" s="15">
        <f t="shared" si="73"/>
        <v>0</v>
      </c>
      <c r="T39" s="15">
        <f t="shared" si="1"/>
        <v>0</v>
      </c>
      <c r="U39" s="15">
        <f t="shared" si="74"/>
        <v>0</v>
      </c>
      <c r="V39" s="15">
        <f t="shared" si="3"/>
        <v>0</v>
      </c>
      <c r="W39" s="15">
        <f t="shared" si="75"/>
        <v>0</v>
      </c>
      <c r="X39" s="15">
        <f t="shared" si="5"/>
        <v>0</v>
      </c>
      <c r="Y39" s="15">
        <f t="shared" si="75"/>
        <v>0</v>
      </c>
      <c r="Z39" s="15">
        <f t="shared" si="6"/>
        <v>0</v>
      </c>
      <c r="AA39" s="15">
        <f t="shared" si="75"/>
        <v>0</v>
      </c>
      <c r="AB39" s="15">
        <f t="shared" si="7"/>
        <v>0</v>
      </c>
      <c r="AC39" s="15">
        <f t="shared" si="76"/>
        <v>0</v>
      </c>
      <c r="AD39" s="15">
        <f t="shared" si="67"/>
        <v>0</v>
      </c>
      <c r="AE39" s="15">
        <f t="shared" si="77"/>
        <v>0</v>
      </c>
      <c r="AF39" s="15">
        <f t="shared" si="9"/>
        <v>0</v>
      </c>
      <c r="AG39" s="15">
        <f t="shared" si="78"/>
        <v>0</v>
      </c>
      <c r="AH39" s="15">
        <f t="shared" si="11"/>
        <v>0</v>
      </c>
      <c r="AI39" s="15">
        <f t="shared" si="79"/>
        <v>0</v>
      </c>
      <c r="AJ39" s="15">
        <f t="shared" si="13"/>
        <v>0</v>
      </c>
      <c r="AK39" s="15">
        <f t="shared" si="80"/>
        <v>0</v>
      </c>
      <c r="AL39" s="15">
        <f t="shared" si="15"/>
        <v>0</v>
      </c>
      <c r="AM39" s="15">
        <f t="shared" si="81"/>
        <v>0</v>
      </c>
      <c r="AN39" s="15">
        <f t="shared" si="17"/>
        <v>0</v>
      </c>
      <c r="AO39" s="15">
        <f t="shared" si="82"/>
        <v>0</v>
      </c>
      <c r="AP39" s="15">
        <f t="shared" si="19"/>
        <v>0</v>
      </c>
      <c r="AQ39" s="15">
        <f t="shared" si="83"/>
        <v>0</v>
      </c>
      <c r="AR39" s="15">
        <f t="shared" si="21"/>
        <v>0</v>
      </c>
      <c r="AS39" s="15">
        <f t="shared" si="84"/>
        <v>0</v>
      </c>
      <c r="AT39" s="15">
        <f t="shared" si="23"/>
        <v>0</v>
      </c>
      <c r="AU39" s="15">
        <f t="shared" si="85"/>
        <v>0</v>
      </c>
      <c r="AV39" s="15">
        <f t="shared" si="25"/>
        <v>0</v>
      </c>
      <c r="AW39" s="15">
        <f t="shared" si="86"/>
        <v>0</v>
      </c>
      <c r="AX39" s="15">
        <f t="shared" si="27"/>
        <v>0</v>
      </c>
      <c r="AY39" s="15">
        <f t="shared" si="87"/>
        <v>0</v>
      </c>
      <c r="AZ39" s="15">
        <f t="shared" si="29"/>
        <v>0</v>
      </c>
      <c r="BA39" s="15">
        <f t="shared" si="88"/>
        <v>1</v>
      </c>
      <c r="BB39" s="15">
        <f t="shared" si="31"/>
        <v>1</v>
      </c>
      <c r="BC39" s="15">
        <f t="shared" si="89"/>
        <v>0</v>
      </c>
      <c r="BD39" s="15">
        <f t="shared" si="33"/>
        <v>0</v>
      </c>
      <c r="BE39" s="15">
        <f t="shared" si="90"/>
        <v>0</v>
      </c>
      <c r="BF39" s="15">
        <f t="shared" si="35"/>
        <v>0</v>
      </c>
      <c r="BG39" s="15">
        <f t="shared" si="91"/>
        <v>0</v>
      </c>
      <c r="BH39" s="15">
        <f t="shared" si="37"/>
        <v>0</v>
      </c>
      <c r="BI39" s="15">
        <f t="shared" si="92"/>
        <v>0</v>
      </c>
      <c r="BJ39" s="15">
        <f t="shared" si="39"/>
        <v>0</v>
      </c>
      <c r="BK39" s="15">
        <f t="shared" si="93"/>
        <v>0</v>
      </c>
      <c r="BL39" s="15">
        <f t="shared" si="41"/>
        <v>0</v>
      </c>
      <c r="BM39" s="15">
        <f t="shared" si="94"/>
        <v>0</v>
      </c>
      <c r="BN39" s="15">
        <f t="shared" si="43"/>
        <v>0</v>
      </c>
      <c r="BO39" s="15">
        <f t="shared" si="44"/>
        <v>0</v>
      </c>
      <c r="BP39" s="15">
        <f t="shared" si="45"/>
        <v>0</v>
      </c>
      <c r="BQ39" s="15">
        <f t="shared" si="46"/>
        <v>0</v>
      </c>
      <c r="BR39" s="15">
        <f t="shared" si="47"/>
        <v>0</v>
      </c>
      <c r="BS39" s="15">
        <f t="shared" si="48"/>
        <v>0</v>
      </c>
      <c r="BT39" s="15">
        <f t="shared" si="49"/>
        <v>0</v>
      </c>
      <c r="BU39" s="15">
        <f t="shared" si="50"/>
        <v>0</v>
      </c>
      <c r="BV39" s="15">
        <f t="shared" si="51"/>
        <v>0</v>
      </c>
      <c r="BW39" s="15">
        <f t="shared" si="52"/>
        <v>0</v>
      </c>
      <c r="BX39" s="15">
        <f t="shared" si="53"/>
        <v>0</v>
      </c>
      <c r="BY39" s="15">
        <f t="shared" si="54"/>
        <v>0</v>
      </c>
      <c r="BZ39" s="15">
        <f t="shared" si="55"/>
        <v>0</v>
      </c>
      <c r="CA39" s="15">
        <f t="shared" si="56"/>
        <v>0</v>
      </c>
      <c r="CB39" s="15">
        <f t="shared" si="57"/>
        <v>0</v>
      </c>
      <c r="CC39" s="15">
        <f t="shared" si="58"/>
        <v>0</v>
      </c>
      <c r="CD39" s="15">
        <f t="shared" si="59"/>
        <v>0</v>
      </c>
      <c r="CE39" s="15">
        <f t="shared" si="60"/>
        <v>0</v>
      </c>
      <c r="CF39" s="15">
        <f t="shared" si="61"/>
        <v>0</v>
      </c>
      <c r="CG39" s="15">
        <f t="shared" si="60"/>
        <v>0</v>
      </c>
      <c r="CH39" s="15">
        <f t="shared" si="62"/>
        <v>0</v>
      </c>
      <c r="CI39" s="15">
        <f t="shared" si="60"/>
        <v>0</v>
      </c>
      <c r="CJ39" s="15">
        <f t="shared" si="63"/>
        <v>0</v>
      </c>
      <c r="CK39" s="15">
        <f t="shared" si="60"/>
        <v>0</v>
      </c>
      <c r="CL39" s="15">
        <f t="shared" si="64"/>
        <v>0</v>
      </c>
      <c r="CM39" s="15">
        <f t="shared" si="60"/>
        <v>0</v>
      </c>
      <c r="CN39" s="15">
        <f t="shared" si="68"/>
        <v>0</v>
      </c>
      <c r="CO39" s="15">
        <f t="shared" si="60"/>
        <v>0</v>
      </c>
      <c r="CP39" s="15">
        <f t="shared" si="69"/>
        <v>0</v>
      </c>
      <c r="CQ39" s="15">
        <f t="shared" si="60"/>
        <v>0</v>
      </c>
      <c r="CR39" s="15">
        <f t="shared" si="70"/>
        <v>0</v>
      </c>
      <c r="CS39" s="2">
        <f t="shared" si="71"/>
        <v>4</v>
      </c>
      <c r="CT39" s="2">
        <f>IFERROR((VLOOKUP(A39,'Quad-Tech'!$F$1:$G$17,2,FALSE)),0)</f>
        <v>0</v>
      </c>
    </row>
    <row r="40" spans="1:98" ht="17.25" customHeight="1">
      <c r="A40" s="17" t="s">
        <v>24</v>
      </c>
      <c r="B40" s="18"/>
      <c r="C40" s="18"/>
      <c r="D40" s="18"/>
      <c r="E40" s="18"/>
      <c r="F40" s="19"/>
      <c r="G40" s="19"/>
      <c r="H40" s="19"/>
      <c r="I40" s="20"/>
      <c r="J40" s="20"/>
      <c r="K40" s="20"/>
      <c r="L40" s="20"/>
      <c r="M40" s="20"/>
      <c r="N40" s="124"/>
      <c r="O40" s="124"/>
      <c r="P40" s="125"/>
      <c r="Q40" s="16">
        <f t="shared" ref="Q40:AJ40" si="95">SUM(Q9:Q39)</f>
        <v>0</v>
      </c>
      <c r="R40" s="15">
        <f t="shared" si="95"/>
        <v>0</v>
      </c>
      <c r="S40" s="15">
        <f t="shared" si="95"/>
        <v>4</v>
      </c>
      <c r="T40" s="15">
        <f t="shared" si="95"/>
        <v>4</v>
      </c>
      <c r="U40" s="15">
        <f t="shared" si="95"/>
        <v>1</v>
      </c>
      <c r="V40" s="15">
        <f t="shared" si="95"/>
        <v>1</v>
      </c>
      <c r="W40" s="15">
        <f t="shared" si="95"/>
        <v>0</v>
      </c>
      <c r="X40" s="15">
        <f t="shared" si="95"/>
        <v>0</v>
      </c>
      <c r="Y40" s="15">
        <f t="shared" si="95"/>
        <v>0</v>
      </c>
      <c r="Z40" s="15">
        <f t="shared" si="95"/>
        <v>0</v>
      </c>
      <c r="AA40" s="15">
        <f t="shared" si="95"/>
        <v>2</v>
      </c>
      <c r="AB40" s="15">
        <f t="shared" si="95"/>
        <v>4</v>
      </c>
      <c r="AC40" s="15">
        <f t="shared" si="95"/>
        <v>0</v>
      </c>
      <c r="AD40" s="15">
        <f t="shared" si="95"/>
        <v>0</v>
      </c>
      <c r="AE40" s="15">
        <f t="shared" si="95"/>
        <v>0</v>
      </c>
      <c r="AF40" s="15">
        <f t="shared" si="95"/>
        <v>0</v>
      </c>
      <c r="AG40" s="15">
        <f t="shared" si="95"/>
        <v>7</v>
      </c>
      <c r="AH40" s="15">
        <f t="shared" si="95"/>
        <v>5</v>
      </c>
      <c r="AI40" s="15">
        <f t="shared" si="95"/>
        <v>0</v>
      </c>
      <c r="AJ40" s="15">
        <f t="shared" si="95"/>
        <v>0</v>
      </c>
      <c r="AK40" s="15">
        <f t="shared" ref="AK40:AV40" si="96">SUM(AK9:AK39)</f>
        <v>0</v>
      </c>
      <c r="AL40" s="15">
        <f t="shared" si="96"/>
        <v>0</v>
      </c>
      <c r="AM40" s="15">
        <f t="shared" si="96"/>
        <v>0</v>
      </c>
      <c r="AN40" s="15">
        <f t="shared" si="96"/>
        <v>0</v>
      </c>
      <c r="AO40" s="15">
        <f t="shared" si="96"/>
        <v>0</v>
      </c>
      <c r="AP40" s="15">
        <f t="shared" si="96"/>
        <v>0</v>
      </c>
      <c r="AQ40" s="15">
        <f t="shared" si="96"/>
        <v>0</v>
      </c>
      <c r="AR40" s="15">
        <f t="shared" si="96"/>
        <v>0</v>
      </c>
      <c r="AS40" s="15">
        <f t="shared" si="96"/>
        <v>3</v>
      </c>
      <c r="AT40" s="15">
        <f t="shared" si="96"/>
        <v>3</v>
      </c>
      <c r="AU40" s="15">
        <f t="shared" si="96"/>
        <v>0</v>
      </c>
      <c r="AV40" s="15">
        <f t="shared" si="96"/>
        <v>0</v>
      </c>
      <c r="AW40" s="15">
        <f t="shared" ref="AW40:BB40" si="97">SUM(AW9:AW39)</f>
        <v>5</v>
      </c>
      <c r="AX40" s="15">
        <f t="shared" si="97"/>
        <v>4</v>
      </c>
      <c r="AY40" s="15">
        <f t="shared" si="97"/>
        <v>0</v>
      </c>
      <c r="AZ40" s="15">
        <f t="shared" si="97"/>
        <v>0</v>
      </c>
      <c r="BA40" s="15">
        <f t="shared" si="97"/>
        <v>6</v>
      </c>
      <c r="BB40" s="15">
        <f t="shared" si="97"/>
        <v>6</v>
      </c>
      <c r="BC40" s="15">
        <f>SUM(BC9:BC39)</f>
        <v>1</v>
      </c>
      <c r="BD40" s="15">
        <f>SUM(BD9:BD39)</f>
        <v>1</v>
      </c>
      <c r="BE40" s="15">
        <f t="shared" ref="BE40:CF40" si="98">SUM(BE9:BE39)</f>
        <v>2</v>
      </c>
      <c r="BF40" s="15">
        <f t="shared" si="98"/>
        <v>3</v>
      </c>
      <c r="BG40" s="15">
        <f t="shared" si="98"/>
        <v>0</v>
      </c>
      <c r="BH40" s="15">
        <f t="shared" si="98"/>
        <v>0</v>
      </c>
      <c r="BI40" s="15">
        <f t="shared" si="98"/>
        <v>0</v>
      </c>
      <c r="BJ40" s="15">
        <f t="shared" si="98"/>
        <v>0</v>
      </c>
      <c r="BK40" s="15">
        <f t="shared" si="98"/>
        <v>0</v>
      </c>
      <c r="BL40" s="15">
        <f t="shared" si="98"/>
        <v>0</v>
      </c>
      <c r="BM40" s="15">
        <f t="shared" si="98"/>
        <v>0</v>
      </c>
      <c r="BN40" s="15">
        <f t="shared" si="98"/>
        <v>0</v>
      </c>
      <c r="BO40" s="15">
        <f t="shared" si="98"/>
        <v>0</v>
      </c>
      <c r="BP40" s="15">
        <f t="shared" si="98"/>
        <v>0</v>
      </c>
      <c r="BQ40" s="15">
        <f t="shared" si="98"/>
        <v>0</v>
      </c>
      <c r="BR40" s="15">
        <f t="shared" si="98"/>
        <v>0</v>
      </c>
      <c r="BS40" s="15">
        <f t="shared" si="98"/>
        <v>0</v>
      </c>
      <c r="BT40" s="15">
        <f t="shared" si="98"/>
        <v>0</v>
      </c>
      <c r="BU40" s="15">
        <f t="shared" si="98"/>
        <v>0</v>
      </c>
      <c r="BV40" s="15">
        <f t="shared" si="98"/>
        <v>0</v>
      </c>
      <c r="BW40" s="15">
        <f t="shared" si="98"/>
        <v>0</v>
      </c>
      <c r="BX40" s="15">
        <f t="shared" si="98"/>
        <v>0</v>
      </c>
      <c r="BY40" s="15">
        <f t="shared" si="98"/>
        <v>0</v>
      </c>
      <c r="BZ40" s="15">
        <f t="shared" si="98"/>
        <v>0</v>
      </c>
      <c r="CA40" s="15">
        <f t="shared" si="98"/>
        <v>0</v>
      </c>
      <c r="CB40" s="15">
        <f t="shared" si="98"/>
        <v>0</v>
      </c>
      <c r="CC40" s="15">
        <f t="shared" si="98"/>
        <v>0</v>
      </c>
      <c r="CD40" s="15">
        <f t="shared" si="98"/>
        <v>0</v>
      </c>
      <c r="CE40" s="15">
        <f t="shared" si="98"/>
        <v>0</v>
      </c>
      <c r="CF40" s="15">
        <f t="shared" si="98"/>
        <v>0</v>
      </c>
      <c r="CG40" s="15">
        <f t="shared" ref="CG40:CL40" si="99">SUM(CG9:CG39)</f>
        <v>0</v>
      </c>
      <c r="CH40" s="15">
        <f t="shared" si="99"/>
        <v>0</v>
      </c>
      <c r="CI40" s="15">
        <f t="shared" si="99"/>
        <v>0</v>
      </c>
      <c r="CJ40" s="15">
        <f t="shared" si="99"/>
        <v>0</v>
      </c>
      <c r="CK40" s="15">
        <f t="shared" si="99"/>
        <v>0</v>
      </c>
      <c r="CL40" s="15">
        <f t="shared" si="99"/>
        <v>0</v>
      </c>
      <c r="CM40" s="15">
        <f t="shared" ref="CM40:CR40" si="100">SUM(CM9:CM39)</f>
        <v>0</v>
      </c>
      <c r="CN40" s="15">
        <f t="shared" si="100"/>
        <v>0</v>
      </c>
      <c r="CO40" s="15">
        <f t="shared" si="100"/>
        <v>0</v>
      </c>
      <c r="CP40" s="15">
        <f t="shared" si="100"/>
        <v>0</v>
      </c>
      <c r="CQ40" s="15">
        <f t="shared" si="100"/>
        <v>0</v>
      </c>
      <c r="CR40" s="15">
        <f t="shared" si="100"/>
        <v>0</v>
      </c>
      <c r="CS40" s="14">
        <f>(SUM(Q40:CR40))+(SUM(Q40:CR40))</f>
        <v>124</v>
      </c>
    </row>
    <row r="41" spans="1:98" ht="17.25" customHeight="1" thickBot="1">
      <c r="A41" s="26"/>
      <c r="B41" s="89" t="s">
        <v>16</v>
      </c>
      <c r="C41" s="89"/>
      <c r="D41" s="21">
        <f>SUM(W40:X40)</f>
        <v>0</v>
      </c>
      <c r="E41" s="22" t="s">
        <v>154</v>
      </c>
      <c r="F41" s="86" t="s">
        <v>156</v>
      </c>
      <c r="G41" s="86"/>
      <c r="H41" s="21">
        <f>SUM(AE$40:AF$40)</f>
        <v>0</v>
      </c>
      <c r="I41" s="22" t="s">
        <v>180</v>
      </c>
      <c r="J41" s="126" t="s">
        <v>190</v>
      </c>
      <c r="K41" s="126"/>
      <c r="L41" s="21">
        <f>SUM(AU$40:AV$40)</f>
        <v>0</v>
      </c>
      <c r="M41" s="21"/>
      <c r="N41" s="123" t="s">
        <v>184</v>
      </c>
      <c r="O41" s="123"/>
      <c r="P41" s="85"/>
      <c r="Q41" s="2" t="s">
        <v>25</v>
      </c>
      <c r="T41" s="2">
        <f>SUM(T44:T46)</f>
        <v>51</v>
      </c>
    </row>
    <row r="42" spans="1:98" ht="17.25" customHeight="1" thickTop="1">
      <c r="A42" s="26"/>
      <c r="B42" s="89" t="s">
        <v>15</v>
      </c>
      <c r="C42" s="89"/>
      <c r="D42" s="21">
        <f>SUM(U40:V40)</f>
        <v>2</v>
      </c>
      <c r="E42" s="22" t="s">
        <v>157</v>
      </c>
      <c r="F42" s="86" t="s">
        <v>159</v>
      </c>
      <c r="G42" s="86"/>
      <c r="H42" s="21">
        <f>SUM(AG$40:AH$40)</f>
        <v>12</v>
      </c>
      <c r="I42" s="22" t="s">
        <v>173</v>
      </c>
      <c r="J42" s="126" t="s">
        <v>191</v>
      </c>
      <c r="K42" s="126"/>
      <c r="L42" s="21">
        <f>SUM(AW$40:AX$40)</f>
        <v>9</v>
      </c>
      <c r="M42" s="21"/>
      <c r="N42" s="42" t="s">
        <v>185</v>
      </c>
      <c r="O42" s="42"/>
      <c r="P42" s="23">
        <f>SUM(BG$40:BH$40)</f>
        <v>0</v>
      </c>
    </row>
    <row r="43" spans="1:98" ht="17.25" customHeight="1">
      <c r="A43" s="26"/>
      <c r="B43" s="89" t="s">
        <v>65</v>
      </c>
      <c r="C43" s="89"/>
      <c r="D43" s="21">
        <f>SUM(Q40:R40)</f>
        <v>0</v>
      </c>
      <c r="E43" s="22" t="s">
        <v>160</v>
      </c>
      <c r="F43" s="86" t="s">
        <v>162</v>
      </c>
      <c r="G43" s="86"/>
      <c r="H43" s="21">
        <f>SUM(AI$40:AJ$40)</f>
        <v>0</v>
      </c>
      <c r="I43" s="22" t="s">
        <v>175</v>
      </c>
      <c r="J43" s="126" t="s">
        <v>192</v>
      </c>
      <c r="K43" s="126"/>
      <c r="L43" s="21">
        <f>SUM(AY$40:AZ$40)</f>
        <v>0</v>
      </c>
      <c r="M43" s="21"/>
      <c r="N43" s="42" t="s">
        <v>186</v>
      </c>
      <c r="O43" s="42"/>
      <c r="P43" s="23">
        <f>SUM(BI$40:BJ$40)</f>
        <v>0</v>
      </c>
    </row>
    <row r="44" spans="1:98" ht="17.25" customHeight="1">
      <c r="A44" s="26"/>
      <c r="B44" s="89" t="s">
        <v>14</v>
      </c>
      <c r="C44" s="89"/>
      <c r="D44" s="21">
        <f>SUM(S40:T40)</f>
        <v>8</v>
      </c>
      <c r="E44" s="22" t="s">
        <v>163</v>
      </c>
      <c r="F44" s="86" t="s">
        <v>183</v>
      </c>
      <c r="G44" s="86"/>
      <c r="H44" s="21">
        <f>SUM(AK$40:AL$40)</f>
        <v>0</v>
      </c>
      <c r="I44" s="22" t="s">
        <v>181</v>
      </c>
      <c r="J44" s="126" t="s">
        <v>193</v>
      </c>
      <c r="K44" s="126"/>
      <c r="L44" s="21">
        <f>SUM(BA$40:BB$40)</f>
        <v>12</v>
      </c>
      <c r="M44" s="21"/>
      <c r="N44" s="42" t="s">
        <v>188</v>
      </c>
      <c r="O44" s="42"/>
      <c r="P44" s="23">
        <f>SUM(BK$40:BL$40)</f>
        <v>0</v>
      </c>
      <c r="Q44" s="2" t="s">
        <v>26</v>
      </c>
      <c r="T44" s="2">
        <f>SUM(S40:X40)</f>
        <v>10</v>
      </c>
    </row>
    <row r="45" spans="1:98" ht="17.25" customHeight="1">
      <c r="A45" s="26"/>
      <c r="B45" s="89" t="s">
        <v>139</v>
      </c>
      <c r="C45" s="89"/>
      <c r="D45" s="21">
        <f>SUM(AA40:AB40)</f>
        <v>6</v>
      </c>
      <c r="E45" s="22" t="s">
        <v>165</v>
      </c>
      <c r="F45" s="86" t="s">
        <v>167</v>
      </c>
      <c r="G45" s="86"/>
      <c r="H45" s="21">
        <f>SUM(AM$40:AN$40)</f>
        <v>0</v>
      </c>
      <c r="I45" s="22"/>
      <c r="J45" s="126"/>
      <c r="K45" s="126"/>
      <c r="L45" s="21"/>
      <c r="M45" s="21"/>
      <c r="N45" s="122" t="s">
        <v>187</v>
      </c>
      <c r="O45" s="122"/>
      <c r="P45" s="23">
        <f>SUM(BE$40:BF$40)</f>
        <v>5</v>
      </c>
      <c r="Q45" s="2" t="s">
        <v>13</v>
      </c>
      <c r="T45" s="2">
        <f>Q40+R40</f>
        <v>0</v>
      </c>
    </row>
    <row r="46" spans="1:98" ht="17.25" customHeight="1">
      <c r="A46" s="24"/>
      <c r="B46" s="89" t="s">
        <v>87</v>
      </c>
      <c r="C46" s="89"/>
      <c r="D46" s="21">
        <f>SUM(AC40:AD40)</f>
        <v>0</v>
      </c>
      <c r="E46" s="22" t="s">
        <v>168</v>
      </c>
      <c r="F46" s="86" t="s">
        <v>170</v>
      </c>
      <c r="G46" s="86"/>
      <c r="H46" s="21">
        <f>SUM(AO$40:AP$40)</f>
        <v>0</v>
      </c>
      <c r="I46" s="22"/>
      <c r="J46" s="126"/>
      <c r="K46" s="126"/>
      <c r="L46" s="39"/>
      <c r="M46" s="21"/>
      <c r="N46" s="122" t="s">
        <v>189</v>
      </c>
      <c r="O46" s="122"/>
      <c r="P46" s="23">
        <f>SUM(BC$40:BD$40)</f>
        <v>2</v>
      </c>
      <c r="Q46" s="2" t="s">
        <v>27</v>
      </c>
      <c r="T46" s="2">
        <f>SUM(AE40:BD40)</f>
        <v>41</v>
      </c>
    </row>
    <row r="47" spans="1:98" ht="17.25" customHeight="1">
      <c r="A47" s="25"/>
      <c r="B47" s="89" t="s">
        <v>182</v>
      </c>
      <c r="C47" s="89"/>
      <c r="D47" s="21">
        <f>SUM(Y40:Z40)</f>
        <v>0</v>
      </c>
      <c r="E47" s="22" t="s">
        <v>171</v>
      </c>
      <c r="F47" s="86" t="s">
        <v>183</v>
      </c>
      <c r="G47" s="86"/>
      <c r="H47" s="21">
        <f>SUM(AQ$40:AR$40)</f>
        <v>0</v>
      </c>
      <c r="I47" s="22"/>
      <c r="J47" s="127"/>
      <c r="K47" s="127"/>
      <c r="L47" s="39"/>
      <c r="M47" s="21"/>
      <c r="N47" s="122"/>
      <c r="O47" s="122"/>
      <c r="P47" s="23"/>
    </row>
    <row r="48" spans="1:98" ht="17.25" customHeight="1">
      <c r="A48" s="25"/>
      <c r="B48" s="87"/>
      <c r="C48" s="88"/>
      <c r="D48" s="21"/>
      <c r="E48" s="22" t="s">
        <v>177</v>
      </c>
      <c r="F48" s="86" t="s">
        <v>179</v>
      </c>
      <c r="G48" s="86"/>
      <c r="H48" s="21">
        <f>SUM(AS$40:AT$40)</f>
        <v>6</v>
      </c>
      <c r="I48" s="22"/>
      <c r="J48" s="127"/>
      <c r="K48" s="127"/>
      <c r="L48" s="22"/>
      <c r="M48" s="21"/>
      <c r="N48" s="122"/>
      <c r="O48" s="122"/>
      <c r="P48" s="37"/>
    </row>
    <row r="49" spans="1:16" ht="17.25" customHeight="1">
      <c r="A49" s="75"/>
      <c r="B49" s="76"/>
      <c r="C49" s="76"/>
      <c r="D49" s="76"/>
      <c r="E49" s="77"/>
      <c r="F49" s="43"/>
      <c r="G49" s="76"/>
      <c r="H49" s="76"/>
      <c r="I49" s="76"/>
      <c r="J49" s="76"/>
      <c r="K49" s="76"/>
      <c r="L49" s="76"/>
      <c r="M49" s="76"/>
      <c r="N49" s="36" t="s">
        <v>67</v>
      </c>
      <c r="O49" s="78">
        <f>SUM(D41:D49,H41:H49,L41:L49,M41:M49,P41:P48)</f>
        <v>62</v>
      </c>
      <c r="P49" s="79"/>
    </row>
    <row r="50" spans="1:16" ht="17.25" customHeight="1">
      <c r="A50" s="17" t="s">
        <v>28</v>
      </c>
      <c r="B50" s="18"/>
      <c r="C50" s="18"/>
      <c r="D50" s="18"/>
      <c r="E50" s="80"/>
      <c r="F50" s="17" t="s">
        <v>29</v>
      </c>
      <c r="G50" s="18"/>
      <c r="H50" s="18"/>
      <c r="I50" s="18"/>
      <c r="J50" s="18"/>
      <c r="K50" s="80"/>
      <c r="L50" s="17" t="s">
        <v>30</v>
      </c>
      <c r="M50" s="18"/>
      <c r="N50" s="18"/>
      <c r="O50" s="18"/>
      <c r="P50" s="81"/>
    </row>
    <row r="51" spans="1:16" ht="17.25" customHeight="1">
      <c r="A51" s="25"/>
      <c r="B51" s="38"/>
      <c r="C51" s="38"/>
      <c r="D51" s="38"/>
      <c r="E51" s="37"/>
      <c r="F51" s="25"/>
      <c r="G51" s="38"/>
      <c r="H51" s="38"/>
      <c r="I51" s="38"/>
      <c r="J51" s="38"/>
      <c r="K51" s="37"/>
      <c r="L51" s="25"/>
      <c r="M51" s="38"/>
      <c r="N51" s="82"/>
      <c r="O51" s="82"/>
      <c r="P51" s="83"/>
    </row>
    <row r="52" spans="1:16" ht="17.25" customHeight="1">
      <c r="A52" s="75"/>
      <c r="B52" s="76"/>
      <c r="C52" s="76"/>
      <c r="D52" s="76"/>
      <c r="E52" s="84"/>
      <c r="F52" s="75"/>
      <c r="G52" s="76"/>
      <c r="H52" s="76"/>
      <c r="I52" s="76"/>
      <c r="J52" s="76"/>
      <c r="K52" s="84"/>
      <c r="L52" s="75" t="s">
        <v>140</v>
      </c>
      <c r="M52" s="76"/>
      <c r="N52" s="76"/>
      <c r="O52" s="76"/>
      <c r="P52" s="79"/>
    </row>
    <row r="53" spans="1:16" ht="10" customHeight="1">
      <c r="A53" s="38"/>
      <c r="B53" s="38"/>
      <c r="C53" s="38"/>
      <c r="D53" s="38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</row>
    <row r="54" spans="1:16" ht="18">
      <c r="A54" s="52" t="s">
        <v>137</v>
      </c>
      <c r="B54" s="38"/>
      <c r="C54" s="38"/>
      <c r="D54" s="38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</row>
  </sheetData>
  <sheetProtection selectLockedCells="1"/>
  <protectedRanges>
    <protectedRange sqref="P42:P44 N42:O42 N45:P45 N41:P41 N47:P49 A41:M49 P46" name="範圍2"/>
    <protectedRange sqref="A9:D39" name="範圍1"/>
  </protectedRanges>
  <sortState xmlns:xlrd2="http://schemas.microsoft.com/office/spreadsheetml/2017/richdata2" ref="K41:M44">
    <sortCondition ref="K41:K44"/>
  </sortState>
  <dataConsolidate/>
  <mergeCells count="173">
    <mergeCell ref="N45:O45"/>
    <mergeCell ref="N46:O46"/>
    <mergeCell ref="N47:O47"/>
    <mergeCell ref="N48:O48"/>
    <mergeCell ref="N41:O41"/>
    <mergeCell ref="N40:P40"/>
    <mergeCell ref="E37:G37"/>
    <mergeCell ref="E38:G38"/>
    <mergeCell ref="E39:G39"/>
    <mergeCell ref="F48:G48"/>
    <mergeCell ref="J41:K41"/>
    <mergeCell ref="J42:K42"/>
    <mergeCell ref="J43:K43"/>
    <mergeCell ref="J44:K44"/>
    <mergeCell ref="J45:K45"/>
    <mergeCell ref="J46:K46"/>
    <mergeCell ref="J47:K47"/>
    <mergeCell ref="J48:K48"/>
    <mergeCell ref="F41:G41"/>
    <mergeCell ref="F42:G42"/>
    <mergeCell ref="F43:G43"/>
    <mergeCell ref="F44:G44"/>
    <mergeCell ref="F45:G45"/>
    <mergeCell ref="F46:G46"/>
    <mergeCell ref="E17:G17"/>
    <mergeCell ref="E18:G18"/>
    <mergeCell ref="E19:G19"/>
    <mergeCell ref="E20:G20"/>
    <mergeCell ref="E21:G21"/>
    <mergeCell ref="E22:G22"/>
    <mergeCell ref="E32:G32"/>
    <mergeCell ref="E33:G33"/>
    <mergeCell ref="E34:G34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CA8:CB8"/>
    <mergeCell ref="CC8:CD8"/>
    <mergeCell ref="CE8:CF8"/>
    <mergeCell ref="J38:M38"/>
    <mergeCell ref="J9:M9"/>
    <mergeCell ref="J10:M10"/>
    <mergeCell ref="J11:M11"/>
    <mergeCell ref="J12:M12"/>
    <mergeCell ref="J13:M13"/>
    <mergeCell ref="W8:X8"/>
    <mergeCell ref="AE8:AF8"/>
    <mergeCell ref="AG8:AH8"/>
    <mergeCell ref="AI8:AJ8"/>
    <mergeCell ref="BC8:BD8"/>
    <mergeCell ref="Q8:R8"/>
    <mergeCell ref="BA8:BB8"/>
    <mergeCell ref="AQ8:AR8"/>
    <mergeCell ref="AS8:AT8"/>
    <mergeCell ref="BW8:BX8"/>
    <mergeCell ref="BY8:BZ8"/>
    <mergeCell ref="BU8:BV8"/>
    <mergeCell ref="BE8:BF8"/>
    <mergeCell ref="BG8:BH8"/>
    <mergeCell ref="BI8:BJ8"/>
    <mergeCell ref="BK8:BL8"/>
    <mergeCell ref="BM8:BN8"/>
    <mergeCell ref="BO8:BP8"/>
    <mergeCell ref="BQ8:BR8"/>
    <mergeCell ref="BS8:BT8"/>
    <mergeCell ref="A14:C14"/>
    <mergeCell ref="A15:C15"/>
    <mergeCell ref="A16:C16"/>
    <mergeCell ref="N3:O3"/>
    <mergeCell ref="AU8:AV8"/>
    <mergeCell ref="AW8:AX8"/>
    <mergeCell ref="AY8:AZ8"/>
    <mergeCell ref="AK8:AL8"/>
    <mergeCell ref="AM8:AN8"/>
    <mergeCell ref="AC8:AD8"/>
    <mergeCell ref="P2:P3"/>
    <mergeCell ref="A6:P6"/>
    <mergeCell ref="A7:C7"/>
    <mergeCell ref="E7:M7"/>
    <mergeCell ref="E3:H3"/>
    <mergeCell ref="A4:P4"/>
    <mergeCell ref="E5:H5"/>
    <mergeCell ref="N5:P5"/>
    <mergeCell ref="H8:I8"/>
    <mergeCell ref="E9:G9"/>
    <mergeCell ref="E10:G10"/>
    <mergeCell ref="E11:G11"/>
    <mergeCell ref="E12:G12"/>
    <mergeCell ref="E13:G13"/>
    <mergeCell ref="J24:M24"/>
    <mergeCell ref="J25:M25"/>
    <mergeCell ref="AO8:AP8"/>
    <mergeCell ref="J20:M20"/>
    <mergeCell ref="J21:M21"/>
    <mergeCell ref="J22:M22"/>
    <mergeCell ref="J18:M18"/>
    <mergeCell ref="J19:M19"/>
    <mergeCell ref="J17:M17"/>
    <mergeCell ref="AA8:AB8"/>
    <mergeCell ref="S8:T8"/>
    <mergeCell ref="U8:V8"/>
    <mergeCell ref="J14:M14"/>
    <mergeCell ref="J23:M23"/>
    <mergeCell ref="J15:M15"/>
    <mergeCell ref="J16:M16"/>
    <mergeCell ref="E14:G14"/>
    <mergeCell ref="E15:G15"/>
    <mergeCell ref="E16:G16"/>
    <mergeCell ref="A36:C36"/>
    <mergeCell ref="A37:C37"/>
    <mergeCell ref="A28:C28"/>
    <mergeCell ref="A29:C29"/>
    <mergeCell ref="A30:C30"/>
    <mergeCell ref="A31:C31"/>
    <mergeCell ref="A32:C32"/>
    <mergeCell ref="J26:M26"/>
    <mergeCell ref="J27:M27"/>
    <mergeCell ref="J28:M28"/>
    <mergeCell ref="J36:M36"/>
    <mergeCell ref="J37:M37"/>
    <mergeCell ref="J32:M32"/>
    <mergeCell ref="J33:M33"/>
    <mergeCell ref="J34:M34"/>
    <mergeCell ref="J29:M29"/>
    <mergeCell ref="J35:M35"/>
    <mergeCell ref="A33:C33"/>
    <mergeCell ref="A34:C34"/>
    <mergeCell ref="A35:C35"/>
    <mergeCell ref="J30:M30"/>
    <mergeCell ref="J31:M31"/>
    <mergeCell ref="E35:G35"/>
    <mergeCell ref="E36:G36"/>
    <mergeCell ref="A22:C22"/>
    <mergeCell ref="A23:C23"/>
    <mergeCell ref="A24:C24"/>
    <mergeCell ref="A25:C25"/>
    <mergeCell ref="A26:C26"/>
    <mergeCell ref="A27:C27"/>
    <mergeCell ref="A9:C9"/>
    <mergeCell ref="A10:C10"/>
    <mergeCell ref="A11:C11"/>
    <mergeCell ref="A12:C12"/>
    <mergeCell ref="A13:C13"/>
    <mergeCell ref="F47:G47"/>
    <mergeCell ref="B48:C48"/>
    <mergeCell ref="B47:C47"/>
    <mergeCell ref="Y8:Z8"/>
    <mergeCell ref="CM8:CN8"/>
    <mergeCell ref="CO8:CP8"/>
    <mergeCell ref="CQ8:CR8"/>
    <mergeCell ref="B46:C46"/>
    <mergeCell ref="CI8:CJ8"/>
    <mergeCell ref="CK8:CL8"/>
    <mergeCell ref="CG8:CH8"/>
    <mergeCell ref="B41:C41"/>
    <mergeCell ref="B42:C42"/>
    <mergeCell ref="B43:C43"/>
    <mergeCell ref="B44:C44"/>
    <mergeCell ref="B45:C45"/>
    <mergeCell ref="A38:C38"/>
    <mergeCell ref="A39:C39"/>
    <mergeCell ref="J39:M39"/>
    <mergeCell ref="A17:C17"/>
    <mergeCell ref="A18:C18"/>
    <mergeCell ref="A19:C19"/>
    <mergeCell ref="A20:C20"/>
    <mergeCell ref="A21:C21"/>
  </mergeCells>
  <phoneticPr fontId="6" type="noConversion"/>
  <conditionalFormatting sqref="D9">
    <cfRule type="cellIs" dxfId="33" priority="41" operator="equal">
      <formula>$CT$9</formula>
    </cfRule>
  </conditionalFormatting>
  <conditionalFormatting sqref="D9:D39">
    <cfRule type="cellIs" dxfId="32" priority="51" operator="equal">
      <formula>"Sun"</formula>
    </cfRule>
  </conditionalFormatting>
  <conditionalFormatting sqref="D10">
    <cfRule type="cellIs" dxfId="31" priority="40" operator="equal">
      <formula>$CT$10</formula>
    </cfRule>
  </conditionalFormatting>
  <conditionalFormatting sqref="D11">
    <cfRule type="cellIs" dxfId="30" priority="39" operator="equal">
      <formula>$CT$11</formula>
    </cfRule>
  </conditionalFormatting>
  <conditionalFormatting sqref="D12">
    <cfRule type="cellIs" dxfId="29" priority="38" operator="equal">
      <formula>$CT$12</formula>
    </cfRule>
  </conditionalFormatting>
  <conditionalFormatting sqref="D13">
    <cfRule type="cellIs" dxfId="28" priority="37" operator="equal">
      <formula>$CT$13</formula>
    </cfRule>
  </conditionalFormatting>
  <conditionalFormatting sqref="D14">
    <cfRule type="cellIs" dxfId="27" priority="36" operator="equal">
      <formula>$CT$14</formula>
    </cfRule>
  </conditionalFormatting>
  <conditionalFormatting sqref="D15">
    <cfRule type="cellIs" dxfId="26" priority="35" operator="equal">
      <formula>$CT$15</formula>
    </cfRule>
  </conditionalFormatting>
  <conditionalFormatting sqref="D16">
    <cfRule type="cellIs" dxfId="25" priority="34" operator="equal">
      <formula>$CT$16</formula>
    </cfRule>
  </conditionalFormatting>
  <conditionalFormatting sqref="D17">
    <cfRule type="cellIs" dxfId="24" priority="33" operator="equal">
      <formula>$CT$17</formula>
    </cfRule>
  </conditionalFormatting>
  <conditionalFormatting sqref="D18">
    <cfRule type="cellIs" dxfId="23" priority="32" operator="equal">
      <formula>$CT$18</formula>
    </cfRule>
  </conditionalFormatting>
  <conditionalFormatting sqref="D19">
    <cfRule type="cellIs" dxfId="22" priority="31" operator="equal">
      <formula>$CT$19</formula>
    </cfRule>
  </conditionalFormatting>
  <conditionalFormatting sqref="D20">
    <cfRule type="cellIs" dxfId="21" priority="30" operator="equal">
      <formula>$CT$20</formula>
    </cfRule>
  </conditionalFormatting>
  <conditionalFormatting sqref="D21">
    <cfRule type="cellIs" dxfId="20" priority="29" operator="equal">
      <formula>$CT$21</formula>
    </cfRule>
  </conditionalFormatting>
  <conditionalFormatting sqref="D22">
    <cfRule type="cellIs" dxfId="19" priority="28" operator="equal">
      <formula>$CT$22</formula>
    </cfRule>
  </conditionalFormatting>
  <conditionalFormatting sqref="D23">
    <cfRule type="cellIs" dxfId="18" priority="27" operator="equal">
      <formula>$CT$23</formula>
    </cfRule>
  </conditionalFormatting>
  <conditionalFormatting sqref="D24">
    <cfRule type="cellIs" dxfId="17" priority="26" operator="equal">
      <formula>$CT$24</formula>
    </cfRule>
  </conditionalFormatting>
  <conditionalFormatting sqref="D25">
    <cfRule type="cellIs" dxfId="16" priority="25" operator="equal">
      <formula>$CT$25</formula>
    </cfRule>
  </conditionalFormatting>
  <conditionalFormatting sqref="D26">
    <cfRule type="cellIs" dxfId="15" priority="24" operator="equal">
      <formula>$CT$26</formula>
    </cfRule>
  </conditionalFormatting>
  <conditionalFormatting sqref="D27">
    <cfRule type="cellIs" dxfId="14" priority="23" operator="equal">
      <formula>$CT$27</formula>
    </cfRule>
  </conditionalFormatting>
  <conditionalFormatting sqref="D28">
    <cfRule type="cellIs" dxfId="13" priority="22" operator="equal">
      <formula>$CT$28</formula>
    </cfRule>
  </conditionalFormatting>
  <conditionalFormatting sqref="D29">
    <cfRule type="cellIs" dxfId="12" priority="21" operator="equal">
      <formula>$CT$29</formula>
    </cfRule>
  </conditionalFormatting>
  <conditionalFormatting sqref="D30">
    <cfRule type="cellIs" dxfId="11" priority="20" operator="equal">
      <formula>$CT$30</formula>
    </cfRule>
  </conditionalFormatting>
  <conditionalFormatting sqref="D31">
    <cfRule type="cellIs" dxfId="10" priority="19" operator="equal">
      <formula>$CT$31</formula>
    </cfRule>
  </conditionalFormatting>
  <conditionalFormatting sqref="D32">
    <cfRule type="cellIs" dxfId="9" priority="18" operator="equal">
      <formula>$CT$32</formula>
    </cfRule>
  </conditionalFormatting>
  <conditionalFormatting sqref="D33">
    <cfRule type="cellIs" dxfId="8" priority="17" operator="equal">
      <formula>$CT$33</formula>
    </cfRule>
  </conditionalFormatting>
  <conditionalFormatting sqref="D34">
    <cfRule type="cellIs" dxfId="7" priority="16" operator="equal">
      <formula>$CT$34</formula>
    </cfRule>
  </conditionalFormatting>
  <conditionalFormatting sqref="D35">
    <cfRule type="cellIs" dxfId="6" priority="15" operator="equal">
      <formula>$CT$35</formula>
    </cfRule>
  </conditionalFormatting>
  <conditionalFormatting sqref="D36">
    <cfRule type="cellIs" dxfId="5" priority="14" operator="equal">
      <formula>$CT$36</formula>
    </cfRule>
  </conditionalFormatting>
  <conditionalFormatting sqref="D37">
    <cfRule type="cellIs" dxfId="4" priority="13" operator="equal">
      <formula>$CT$37</formula>
    </cfRule>
  </conditionalFormatting>
  <conditionalFormatting sqref="D38">
    <cfRule type="cellIs" dxfId="3" priority="12" operator="equal">
      <formula>$CT$38</formula>
    </cfRule>
  </conditionalFormatting>
  <conditionalFormatting sqref="D39">
    <cfRule type="cellIs" dxfId="2" priority="11" operator="equal">
      <formula>$CT$39</formula>
    </cfRule>
  </conditionalFormatting>
  <conditionalFormatting sqref="L41:L45 H41:H48 D41:D49 M41:M49 P42:P47 G49 J49">
    <cfRule type="cellIs" dxfId="1" priority="48" operator="greaterThan">
      <formula>0</formula>
    </cfRule>
  </conditionalFormatting>
  <dataValidations count="3">
    <dataValidation type="list" allowBlank="1" showInputMessage="1" showErrorMessage="1" sqref="N3:O3" xr:uid="{00000000-0002-0000-0000-000000000000}">
      <formula1>Month</formula1>
    </dataValidation>
    <dataValidation type="list" allowBlank="1" showInputMessage="1" showErrorMessage="1" promptTitle="Project Name" sqref="E9:G39" xr:uid="{00000000-0002-0000-0000-000001000000}">
      <formula1>"AL,SL,NPL,PH,OFF,Admin,CL,2107EM20M,2656EM20M,3083EM20M,2435EM21M,1497EM22M,1611EM22M,1865EM22M,1735EM22W,元朗宏業西街,Kai Tak 1B2,Tsat Sing Kong,焚化爐（MVAC &amp; ELV）,Kai Tak 1B3,GDS KC1,GDS KC2,EMSD Tender,General Tendering"</formula1>
    </dataValidation>
    <dataValidation type="list" allowBlank="1" showInputMessage="1" showErrorMessage="1" sqref="J9:M39" xr:uid="{00000000-0002-0000-0000-000002000000}">
      <formula1>"AL,SL,NPL,PH,OFF,Admin,CL,2107EM20M,2656EM20M,3083EM20M,2435EM21M,1497EM22M,1611EM22M,1865EM22M,1735EM22W,元朗宏業西街,Kai Tak 1B2,Tsat Sing Kong,焚化爐（MVAC &amp; ELV）,Kai Tak 1B3,GDS KC1,GDS KC2,EMSD Tender,General Tendering"</formula1>
    </dataValidation>
  </dataValidations>
  <printOptions horizontalCentered="1"/>
  <pageMargins left="0.31496062992125984" right="0.31496062992125984" top="0.62992125984251968" bottom="0.35433070866141736" header="0.27559055118110237" footer="0.19685039370078741"/>
  <pageSetup paperSize="9" scale="70" orientation="portrait" blackAndWhite="1" r:id="rId1"/>
  <headerFooter scaleWithDoc="0" alignWithMargins="0">
    <oddHeader>&amp;R&amp;"Arial Narrow,粗體"&amp;8Quad-Tech Engineering (Hong Kong) Company Limited</oddHeader>
    <oddFooter>&amp;R&amp;"新細明體,標準"&amp;9&amp;Z&amp;F</oddFooter>
  </headerFooter>
  <ignoredErrors>
    <ignoredError sqref="A10:D22 A24:D38 A23:C23 A9:C9 A39:D39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OLD!$A$2:$A$35</xm:f>
          </x14:formula1>
          <xm:sqref>H9 H11:H39</xm:sqref>
        </x14:dataValidation>
        <x14:dataValidation type="list" allowBlank="1" showInputMessage="1" showErrorMessage="1" xr:uid="{72809783-EB7C-4816-AC0C-6AECBA046002}">
          <x14:formula1>
            <xm:f>'Quad-Tech'!$E$21:$E$41</xm:f>
          </x14:formula1>
          <xm:sqref>E9:G39 J9:M39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G366"/>
  <sheetViews>
    <sheetView topLeftCell="D13" workbookViewId="0">
      <selection activeCell="E22" sqref="E22:E45"/>
    </sheetView>
  </sheetViews>
  <sheetFormatPr baseColWidth="10" defaultColWidth="8.85546875" defaultRowHeight="16"/>
  <cols>
    <col min="1" max="1" width="8" bestFit="1" customWidth="1"/>
    <col min="2" max="2" width="10.7109375" customWidth="1"/>
    <col min="4" max="4" width="11.85546875" customWidth="1"/>
    <col min="5" max="5" width="18.7109375" customWidth="1"/>
    <col min="6" max="6" width="16.28515625" customWidth="1"/>
    <col min="7" max="7" width="10.85546875" bestFit="1" customWidth="1"/>
  </cols>
  <sheetData>
    <row r="1" spans="1:7">
      <c r="A1" s="31" t="s">
        <v>52</v>
      </c>
      <c r="B1" s="31"/>
      <c r="C1" t="s">
        <v>64</v>
      </c>
      <c r="E1" t="s">
        <v>144</v>
      </c>
      <c r="F1" s="30">
        <v>44928</v>
      </c>
      <c r="G1" t="s">
        <v>126</v>
      </c>
    </row>
    <row r="2" spans="1:7" ht="15" customHeight="1">
      <c r="A2" s="8">
        <v>44927</v>
      </c>
      <c r="B2" s="7" t="s">
        <v>132</v>
      </c>
      <c r="C2" s="9" t="s">
        <v>52</v>
      </c>
      <c r="E2" t="s">
        <v>145</v>
      </c>
      <c r="F2" s="30">
        <v>44949</v>
      </c>
      <c r="G2" t="s">
        <v>126</v>
      </c>
    </row>
    <row r="3" spans="1:7" ht="15" customHeight="1">
      <c r="A3" s="8">
        <v>44928</v>
      </c>
      <c r="B3" s="7" t="s">
        <v>152</v>
      </c>
      <c r="C3" s="9" t="s">
        <v>53</v>
      </c>
      <c r="E3" t="s">
        <v>146</v>
      </c>
      <c r="F3" s="30">
        <v>44950</v>
      </c>
      <c r="G3" t="s">
        <v>122</v>
      </c>
    </row>
    <row r="4" spans="1:7" ht="15" customHeight="1">
      <c r="A4" s="8">
        <v>44929</v>
      </c>
      <c r="B4" s="7" t="s">
        <v>129</v>
      </c>
      <c r="C4" s="9" t="s">
        <v>54</v>
      </c>
      <c r="E4" t="s">
        <v>147</v>
      </c>
      <c r="F4" s="30">
        <v>44951</v>
      </c>
      <c r="G4" t="s">
        <v>123</v>
      </c>
    </row>
    <row r="5" spans="1:7" ht="15" customHeight="1">
      <c r="A5" s="8">
        <v>44930</v>
      </c>
      <c r="B5" s="7" t="s">
        <v>130</v>
      </c>
      <c r="C5" s="9" t="s">
        <v>55</v>
      </c>
      <c r="E5" t="s">
        <v>148</v>
      </c>
      <c r="F5" s="30">
        <v>45021</v>
      </c>
      <c r="G5" t="s">
        <v>123</v>
      </c>
    </row>
    <row r="6" spans="1:7" ht="15" customHeight="1">
      <c r="A6" s="8">
        <v>44931</v>
      </c>
      <c r="B6" s="7" t="s">
        <v>131</v>
      </c>
      <c r="C6" s="9" t="s">
        <v>56</v>
      </c>
      <c r="E6" t="s">
        <v>119</v>
      </c>
      <c r="F6" s="30">
        <v>45023</v>
      </c>
      <c r="G6" t="s">
        <v>125</v>
      </c>
    </row>
    <row r="7" spans="1:7" ht="15" customHeight="1">
      <c r="A7" s="8">
        <v>44932</v>
      </c>
      <c r="B7" s="7" t="s">
        <v>21</v>
      </c>
      <c r="C7" s="9" t="s">
        <v>57</v>
      </c>
      <c r="E7" t="s">
        <v>120</v>
      </c>
      <c r="F7" s="30">
        <v>45024</v>
      </c>
      <c r="G7" t="s">
        <v>127</v>
      </c>
    </row>
    <row r="8" spans="1:7" ht="15" customHeight="1">
      <c r="A8" s="8">
        <v>44933</v>
      </c>
      <c r="B8" s="7" t="s">
        <v>22</v>
      </c>
      <c r="C8" s="9" t="s">
        <v>58</v>
      </c>
      <c r="E8" t="s">
        <v>149</v>
      </c>
      <c r="F8" s="30">
        <v>45026</v>
      </c>
      <c r="G8" t="s">
        <v>126</v>
      </c>
    </row>
    <row r="9" spans="1:7" ht="15" customHeight="1">
      <c r="A9" s="8">
        <v>44934</v>
      </c>
      <c r="B9" s="7" t="s">
        <v>132</v>
      </c>
      <c r="C9" s="9" t="s">
        <v>59</v>
      </c>
      <c r="E9" t="s">
        <v>113</v>
      </c>
      <c r="F9" s="30">
        <v>45047</v>
      </c>
      <c r="G9" t="s">
        <v>126</v>
      </c>
    </row>
    <row r="10" spans="1:7" ht="15" customHeight="1">
      <c r="A10" s="8">
        <v>44935</v>
      </c>
      <c r="B10" s="7" t="s">
        <v>23</v>
      </c>
      <c r="C10" s="9" t="s">
        <v>60</v>
      </c>
      <c r="E10" t="s">
        <v>128</v>
      </c>
      <c r="F10" s="30">
        <v>45072</v>
      </c>
      <c r="G10" t="s">
        <v>125</v>
      </c>
    </row>
    <row r="11" spans="1:7" ht="15" customHeight="1">
      <c r="A11" s="8">
        <v>44936</v>
      </c>
      <c r="B11" s="7" t="s">
        <v>129</v>
      </c>
      <c r="C11" s="9" t="s">
        <v>61</v>
      </c>
      <c r="E11" t="s">
        <v>114</v>
      </c>
      <c r="F11" s="30">
        <v>45099</v>
      </c>
      <c r="G11" t="s">
        <v>124</v>
      </c>
    </row>
    <row r="12" spans="1:7" ht="15" customHeight="1">
      <c r="A12" s="8">
        <v>44937</v>
      </c>
      <c r="B12" s="7" t="s">
        <v>130</v>
      </c>
      <c r="C12" s="9" t="s">
        <v>62</v>
      </c>
      <c r="E12" t="s">
        <v>121</v>
      </c>
      <c r="F12" s="30">
        <v>45108</v>
      </c>
      <c r="G12" t="s">
        <v>127</v>
      </c>
    </row>
    <row r="13" spans="1:7" ht="15" customHeight="1">
      <c r="A13" s="8">
        <v>44938</v>
      </c>
      <c r="B13" s="7" t="s">
        <v>131</v>
      </c>
      <c r="C13" s="9" t="s">
        <v>63</v>
      </c>
      <c r="E13" t="s">
        <v>150</v>
      </c>
      <c r="F13" s="30">
        <v>45199</v>
      </c>
      <c r="G13" t="s">
        <v>127</v>
      </c>
    </row>
    <row r="14" spans="1:7" ht="15" customHeight="1">
      <c r="A14" s="8">
        <v>44939</v>
      </c>
      <c r="B14" s="7" t="s">
        <v>21</v>
      </c>
      <c r="C14" s="9"/>
      <c r="E14" t="s">
        <v>151</v>
      </c>
      <c r="F14" s="30">
        <v>45201</v>
      </c>
      <c r="G14" t="s">
        <v>126</v>
      </c>
    </row>
    <row r="15" spans="1:7" ht="15" customHeight="1">
      <c r="A15" s="8">
        <v>44940</v>
      </c>
      <c r="B15" s="7" t="s">
        <v>22</v>
      </c>
      <c r="C15" s="9"/>
      <c r="E15" t="s">
        <v>115</v>
      </c>
      <c r="F15" s="30">
        <v>45222</v>
      </c>
      <c r="G15" t="s">
        <v>126</v>
      </c>
    </row>
    <row r="16" spans="1:7" ht="15" customHeight="1">
      <c r="A16" s="8">
        <v>44941</v>
      </c>
      <c r="B16" s="7" t="s">
        <v>132</v>
      </c>
      <c r="C16" s="9"/>
      <c r="E16" t="s">
        <v>116</v>
      </c>
      <c r="F16" s="30">
        <v>45285</v>
      </c>
      <c r="G16" t="s">
        <v>126</v>
      </c>
    </row>
    <row r="17" spans="1:7" ht="15" customHeight="1">
      <c r="A17" s="8">
        <v>44942</v>
      </c>
      <c r="B17" s="7" t="s">
        <v>23</v>
      </c>
      <c r="C17" s="9"/>
      <c r="E17" t="s">
        <v>117</v>
      </c>
      <c r="F17" s="30">
        <v>45286</v>
      </c>
      <c r="G17" t="s">
        <v>122</v>
      </c>
    </row>
    <row r="18" spans="1:7" ht="15" customHeight="1">
      <c r="A18" s="8">
        <v>44943</v>
      </c>
      <c r="B18" s="7" t="s">
        <v>129</v>
      </c>
      <c r="C18" s="9"/>
    </row>
    <row r="19" spans="1:7" ht="15" customHeight="1">
      <c r="A19" s="8">
        <v>44944</v>
      </c>
      <c r="B19" s="7" t="s">
        <v>130</v>
      </c>
      <c r="C19" s="9"/>
    </row>
    <row r="20" spans="1:7" ht="15" customHeight="1">
      <c r="A20" s="8">
        <v>44945</v>
      </c>
      <c r="B20" s="7" t="s">
        <v>131</v>
      </c>
      <c r="C20" s="9"/>
    </row>
    <row r="21" spans="1:7" ht="15" customHeight="1">
      <c r="A21" s="8">
        <v>44946</v>
      </c>
      <c r="B21" s="7" t="s">
        <v>21</v>
      </c>
      <c r="C21" s="9"/>
      <c r="F21" s="39"/>
    </row>
    <row r="22" spans="1:7" ht="15" customHeight="1">
      <c r="A22" s="8">
        <v>44947</v>
      </c>
      <c r="B22" s="7" t="s">
        <v>22</v>
      </c>
      <c r="C22" s="9"/>
      <c r="E22" s="39" t="s">
        <v>16</v>
      </c>
      <c r="F22" s="39"/>
    </row>
    <row r="23" spans="1:7" ht="15" customHeight="1">
      <c r="A23" s="8">
        <v>44948</v>
      </c>
      <c r="B23" s="7" t="s">
        <v>132</v>
      </c>
      <c r="C23" s="9"/>
      <c r="E23" s="39" t="s">
        <v>15</v>
      </c>
      <c r="F23" s="39"/>
    </row>
    <row r="24" spans="1:7" ht="15" customHeight="1">
      <c r="A24" s="8">
        <v>44949</v>
      </c>
      <c r="B24" s="7" t="s">
        <v>23</v>
      </c>
      <c r="C24" s="9"/>
      <c r="E24" s="39" t="s">
        <v>65</v>
      </c>
      <c r="F24" s="39"/>
    </row>
    <row r="25" spans="1:7">
      <c r="A25" s="8">
        <v>44950</v>
      </c>
      <c r="B25" s="7" t="s">
        <v>129</v>
      </c>
      <c r="C25" s="9"/>
      <c r="E25" s="39" t="s">
        <v>14</v>
      </c>
      <c r="F25" s="39"/>
    </row>
    <row r="26" spans="1:7">
      <c r="A26" s="8">
        <v>44951</v>
      </c>
      <c r="B26" s="7" t="s">
        <v>130</v>
      </c>
      <c r="E26" s="39" t="s">
        <v>139</v>
      </c>
      <c r="F26" s="39"/>
    </row>
    <row r="27" spans="1:7">
      <c r="A27" s="8">
        <v>44952</v>
      </c>
      <c r="B27" s="7" t="s">
        <v>131</v>
      </c>
      <c r="E27" s="39" t="s">
        <v>79</v>
      </c>
      <c r="F27" s="39"/>
    </row>
    <row r="28" spans="1:7">
      <c r="A28" s="8">
        <v>44953</v>
      </c>
      <c r="B28" s="7" t="s">
        <v>21</v>
      </c>
      <c r="E28" s="39" t="s">
        <v>182</v>
      </c>
    </row>
    <row r="29" spans="1:7">
      <c r="A29" s="8">
        <v>44954</v>
      </c>
      <c r="B29" s="7" t="s">
        <v>22</v>
      </c>
      <c r="E29" s="22" t="s">
        <v>154</v>
      </c>
      <c r="F29" s="44" t="s">
        <v>156</v>
      </c>
      <c r="G29" s="44"/>
    </row>
    <row r="30" spans="1:7">
      <c r="A30" s="8">
        <v>44955</v>
      </c>
      <c r="B30" s="7" t="s">
        <v>132</v>
      </c>
      <c r="E30" s="22" t="s">
        <v>157</v>
      </c>
      <c r="F30" s="44" t="s">
        <v>159</v>
      </c>
      <c r="G30" s="44"/>
    </row>
    <row r="31" spans="1:7">
      <c r="A31" s="8">
        <v>44956</v>
      </c>
      <c r="B31" s="7" t="s">
        <v>23</v>
      </c>
      <c r="E31" s="22" t="s">
        <v>160</v>
      </c>
      <c r="F31" s="44" t="s">
        <v>162</v>
      </c>
      <c r="G31" s="44"/>
    </row>
    <row r="32" spans="1:7">
      <c r="A32" s="8">
        <v>44957</v>
      </c>
      <c r="B32" s="7" t="s">
        <v>129</v>
      </c>
      <c r="E32" s="22" t="s">
        <v>163</v>
      </c>
      <c r="F32" s="44" t="s">
        <v>183</v>
      </c>
      <c r="G32" s="44"/>
    </row>
    <row r="33" spans="1:7">
      <c r="A33" s="8">
        <v>44958</v>
      </c>
      <c r="B33" s="7" t="s">
        <v>130</v>
      </c>
      <c r="E33" s="22" t="s">
        <v>165</v>
      </c>
      <c r="F33" s="44" t="s">
        <v>167</v>
      </c>
      <c r="G33" s="44"/>
    </row>
    <row r="34" spans="1:7">
      <c r="A34" s="8">
        <v>44959</v>
      </c>
      <c r="B34" s="7" t="s">
        <v>131</v>
      </c>
      <c r="E34" s="22" t="s">
        <v>168</v>
      </c>
      <c r="F34" s="44" t="s">
        <v>170</v>
      </c>
      <c r="G34" s="44"/>
    </row>
    <row r="35" spans="1:7">
      <c r="A35" s="8">
        <v>44960</v>
      </c>
      <c r="B35" s="7" t="s">
        <v>21</v>
      </c>
      <c r="E35" s="22" t="s">
        <v>171</v>
      </c>
      <c r="F35" s="44" t="s">
        <v>183</v>
      </c>
      <c r="G35" s="44"/>
    </row>
    <row r="36" spans="1:7">
      <c r="A36" s="8">
        <v>44961</v>
      </c>
      <c r="B36" s="7" t="s">
        <v>22</v>
      </c>
      <c r="E36" s="22" t="s">
        <v>177</v>
      </c>
      <c r="F36" s="44" t="s">
        <v>179</v>
      </c>
      <c r="G36" s="44"/>
    </row>
    <row r="37" spans="1:7">
      <c r="A37" s="8">
        <v>44962</v>
      </c>
      <c r="B37" s="7" t="s">
        <v>132</v>
      </c>
      <c r="E37" s="45" t="s">
        <v>142</v>
      </c>
      <c r="G37" s="45"/>
    </row>
    <row r="38" spans="1:7">
      <c r="A38" s="8">
        <v>44963</v>
      </c>
      <c r="B38" s="7" t="s">
        <v>23</v>
      </c>
      <c r="E38" s="45" t="s">
        <v>174</v>
      </c>
      <c r="G38" s="45"/>
    </row>
    <row r="39" spans="1:7">
      <c r="A39" s="8">
        <v>44964</v>
      </c>
      <c r="B39" s="7" t="s">
        <v>129</v>
      </c>
      <c r="E39" s="45" t="s">
        <v>176</v>
      </c>
      <c r="G39" s="45"/>
    </row>
    <row r="40" spans="1:7">
      <c r="A40" s="8">
        <v>44965</v>
      </c>
      <c r="B40" s="7" t="s">
        <v>130</v>
      </c>
      <c r="E40" s="45" t="s">
        <v>143</v>
      </c>
      <c r="G40" s="45"/>
    </row>
    <row r="41" spans="1:7">
      <c r="A41" s="8">
        <v>44966</v>
      </c>
      <c r="B41" s="7" t="s">
        <v>131</v>
      </c>
      <c r="E41" s="42" t="s">
        <v>185</v>
      </c>
      <c r="F41" s="42"/>
    </row>
    <row r="42" spans="1:7">
      <c r="A42" s="8">
        <v>44967</v>
      </c>
      <c r="B42" s="7" t="s">
        <v>21</v>
      </c>
      <c r="E42" s="42" t="s">
        <v>186</v>
      </c>
      <c r="F42" s="42"/>
    </row>
    <row r="43" spans="1:7">
      <c r="A43" s="8">
        <v>44968</v>
      </c>
      <c r="B43" s="7" t="s">
        <v>22</v>
      </c>
      <c r="E43" s="42" t="s">
        <v>188</v>
      </c>
      <c r="F43" s="42"/>
    </row>
    <row r="44" spans="1:7">
      <c r="A44" s="8">
        <v>44969</v>
      </c>
      <c r="B44" s="7" t="s">
        <v>132</v>
      </c>
      <c r="E44" s="42" t="s">
        <v>187</v>
      </c>
      <c r="F44" s="42"/>
    </row>
    <row r="45" spans="1:7">
      <c r="A45" s="8">
        <v>44970</v>
      </c>
      <c r="B45" s="7" t="s">
        <v>23</v>
      </c>
      <c r="E45" s="42" t="s">
        <v>189</v>
      </c>
      <c r="F45" s="42"/>
    </row>
    <row r="46" spans="1:7">
      <c r="A46" s="8">
        <v>44971</v>
      </c>
      <c r="B46" s="7" t="s">
        <v>129</v>
      </c>
    </row>
    <row r="47" spans="1:7">
      <c r="A47" s="8">
        <v>44972</v>
      </c>
      <c r="B47" s="7" t="s">
        <v>130</v>
      </c>
    </row>
    <row r="48" spans="1:7">
      <c r="A48" s="8">
        <v>44973</v>
      </c>
      <c r="B48" s="7" t="s">
        <v>131</v>
      </c>
    </row>
    <row r="49" spans="1:2">
      <c r="A49" s="8">
        <v>44974</v>
      </c>
      <c r="B49" s="7" t="s">
        <v>21</v>
      </c>
    </row>
    <row r="50" spans="1:2">
      <c r="A50" s="8">
        <v>44975</v>
      </c>
      <c r="B50" s="7" t="s">
        <v>22</v>
      </c>
    </row>
    <row r="51" spans="1:2">
      <c r="A51" s="8">
        <v>44976</v>
      </c>
      <c r="B51" s="7" t="s">
        <v>132</v>
      </c>
    </row>
    <row r="52" spans="1:2">
      <c r="A52" s="8">
        <v>44977</v>
      </c>
      <c r="B52" s="7" t="s">
        <v>23</v>
      </c>
    </row>
    <row r="53" spans="1:2">
      <c r="A53" s="8">
        <v>44978</v>
      </c>
      <c r="B53" s="7" t="s">
        <v>129</v>
      </c>
    </row>
    <row r="54" spans="1:2">
      <c r="A54" s="8">
        <v>44979</v>
      </c>
      <c r="B54" s="7" t="s">
        <v>130</v>
      </c>
    </row>
    <row r="55" spans="1:2">
      <c r="A55" s="8">
        <v>44980</v>
      </c>
      <c r="B55" s="7" t="s">
        <v>131</v>
      </c>
    </row>
    <row r="56" spans="1:2">
      <c r="A56" s="8">
        <v>44981</v>
      </c>
      <c r="B56" s="7" t="s">
        <v>21</v>
      </c>
    </row>
    <row r="57" spans="1:2">
      <c r="A57" s="8">
        <v>44982</v>
      </c>
      <c r="B57" s="7" t="s">
        <v>22</v>
      </c>
    </row>
    <row r="58" spans="1:2">
      <c r="A58" s="8">
        <v>44983</v>
      </c>
      <c r="B58" s="7" t="s">
        <v>132</v>
      </c>
    </row>
    <row r="59" spans="1:2">
      <c r="A59" s="8">
        <v>44984</v>
      </c>
      <c r="B59" s="7" t="s">
        <v>23</v>
      </c>
    </row>
    <row r="60" spans="1:2">
      <c r="A60" s="8">
        <v>44985</v>
      </c>
      <c r="B60" s="7" t="s">
        <v>129</v>
      </c>
    </row>
    <row r="61" spans="1:2">
      <c r="A61" s="8">
        <v>44986</v>
      </c>
      <c r="B61" s="7" t="s">
        <v>130</v>
      </c>
    </row>
    <row r="62" spans="1:2">
      <c r="A62" s="8">
        <v>44987</v>
      </c>
      <c r="B62" s="7" t="s">
        <v>131</v>
      </c>
    </row>
    <row r="63" spans="1:2">
      <c r="A63" s="8">
        <v>44988</v>
      </c>
      <c r="B63" s="7" t="s">
        <v>21</v>
      </c>
    </row>
    <row r="64" spans="1:2">
      <c r="A64" s="8">
        <v>44989</v>
      </c>
      <c r="B64" s="7" t="s">
        <v>22</v>
      </c>
    </row>
    <row r="65" spans="1:2">
      <c r="A65" s="8">
        <v>44990</v>
      </c>
      <c r="B65" s="7" t="s">
        <v>132</v>
      </c>
    </row>
    <row r="66" spans="1:2">
      <c r="A66" s="8">
        <v>44991</v>
      </c>
      <c r="B66" s="7" t="s">
        <v>23</v>
      </c>
    </row>
    <row r="67" spans="1:2">
      <c r="A67" s="8">
        <v>44992</v>
      </c>
      <c r="B67" s="7" t="s">
        <v>129</v>
      </c>
    </row>
    <row r="68" spans="1:2">
      <c r="A68" s="8">
        <v>44993</v>
      </c>
      <c r="B68" s="7" t="s">
        <v>130</v>
      </c>
    </row>
    <row r="69" spans="1:2">
      <c r="A69" s="8">
        <v>44994</v>
      </c>
      <c r="B69" s="7" t="s">
        <v>131</v>
      </c>
    </row>
    <row r="70" spans="1:2">
      <c r="A70" s="8">
        <v>44995</v>
      </c>
      <c r="B70" s="7" t="s">
        <v>21</v>
      </c>
    </row>
    <row r="71" spans="1:2">
      <c r="A71" s="8">
        <v>44996</v>
      </c>
      <c r="B71" s="7" t="s">
        <v>22</v>
      </c>
    </row>
    <row r="72" spans="1:2">
      <c r="A72" s="8">
        <v>44997</v>
      </c>
      <c r="B72" s="7" t="s">
        <v>132</v>
      </c>
    </row>
    <row r="73" spans="1:2">
      <c r="A73" s="8">
        <v>44998</v>
      </c>
      <c r="B73" s="7" t="s">
        <v>23</v>
      </c>
    </row>
    <row r="74" spans="1:2">
      <c r="A74" s="8">
        <v>44999</v>
      </c>
      <c r="B74" s="7" t="s">
        <v>129</v>
      </c>
    </row>
    <row r="75" spans="1:2">
      <c r="A75" s="8">
        <v>45000</v>
      </c>
      <c r="B75" s="7" t="s">
        <v>130</v>
      </c>
    </row>
    <row r="76" spans="1:2">
      <c r="A76" s="8">
        <v>45001</v>
      </c>
      <c r="B76" s="7" t="s">
        <v>131</v>
      </c>
    </row>
    <row r="77" spans="1:2">
      <c r="A77" s="8">
        <v>45002</v>
      </c>
      <c r="B77" s="7" t="s">
        <v>21</v>
      </c>
    </row>
    <row r="78" spans="1:2">
      <c r="A78" s="8">
        <v>45003</v>
      </c>
      <c r="B78" s="7" t="s">
        <v>22</v>
      </c>
    </row>
    <row r="79" spans="1:2">
      <c r="A79" s="8">
        <v>45004</v>
      </c>
      <c r="B79" s="7" t="s">
        <v>132</v>
      </c>
    </row>
    <row r="80" spans="1:2">
      <c r="A80" s="8">
        <v>45005</v>
      </c>
      <c r="B80" s="7" t="s">
        <v>23</v>
      </c>
    </row>
    <row r="81" spans="1:2">
      <c r="A81" s="8">
        <v>45006</v>
      </c>
      <c r="B81" s="7" t="s">
        <v>129</v>
      </c>
    </row>
    <row r="82" spans="1:2">
      <c r="A82" s="8">
        <v>45007</v>
      </c>
      <c r="B82" s="7" t="s">
        <v>130</v>
      </c>
    </row>
    <row r="83" spans="1:2">
      <c r="A83" s="8">
        <v>45008</v>
      </c>
      <c r="B83" s="7" t="s">
        <v>131</v>
      </c>
    </row>
    <row r="84" spans="1:2">
      <c r="A84" s="8">
        <v>45009</v>
      </c>
      <c r="B84" s="7" t="s">
        <v>21</v>
      </c>
    </row>
    <row r="85" spans="1:2">
      <c r="A85" s="8">
        <v>45010</v>
      </c>
      <c r="B85" s="7" t="s">
        <v>22</v>
      </c>
    </row>
    <row r="86" spans="1:2">
      <c r="A86" s="8">
        <v>45011</v>
      </c>
      <c r="B86" s="7" t="s">
        <v>132</v>
      </c>
    </row>
    <row r="87" spans="1:2">
      <c r="A87" s="8">
        <v>45012</v>
      </c>
      <c r="B87" s="7" t="s">
        <v>23</v>
      </c>
    </row>
    <row r="88" spans="1:2">
      <c r="A88" s="8">
        <v>45013</v>
      </c>
      <c r="B88" s="7" t="s">
        <v>129</v>
      </c>
    </row>
    <row r="89" spans="1:2">
      <c r="A89" s="8">
        <v>45014</v>
      </c>
      <c r="B89" s="7" t="s">
        <v>130</v>
      </c>
    </row>
    <row r="90" spans="1:2">
      <c r="A90" s="8">
        <v>45015</v>
      </c>
      <c r="B90" s="7" t="s">
        <v>131</v>
      </c>
    </row>
    <row r="91" spans="1:2">
      <c r="A91" s="8">
        <v>45016</v>
      </c>
      <c r="B91" s="7" t="s">
        <v>21</v>
      </c>
    </row>
    <row r="92" spans="1:2">
      <c r="A92" s="8">
        <v>45017</v>
      </c>
      <c r="B92" s="7" t="s">
        <v>22</v>
      </c>
    </row>
    <row r="93" spans="1:2">
      <c r="A93" s="8">
        <v>45018</v>
      </c>
      <c r="B93" s="7" t="s">
        <v>132</v>
      </c>
    </row>
    <row r="94" spans="1:2">
      <c r="A94" s="8">
        <v>45019</v>
      </c>
      <c r="B94" s="7" t="s">
        <v>23</v>
      </c>
    </row>
    <row r="95" spans="1:2">
      <c r="A95" s="8">
        <v>45020</v>
      </c>
      <c r="B95" s="7" t="s">
        <v>129</v>
      </c>
    </row>
    <row r="96" spans="1:2">
      <c r="A96" s="8">
        <v>45021</v>
      </c>
      <c r="B96" s="7" t="s">
        <v>130</v>
      </c>
    </row>
    <row r="97" spans="1:2">
      <c r="A97" s="8">
        <v>45022</v>
      </c>
      <c r="B97" s="7" t="s">
        <v>131</v>
      </c>
    </row>
    <row r="98" spans="1:2">
      <c r="A98" s="8">
        <v>45023</v>
      </c>
      <c r="B98" s="7" t="s">
        <v>21</v>
      </c>
    </row>
    <row r="99" spans="1:2">
      <c r="A99" s="8">
        <v>45024</v>
      </c>
      <c r="B99" s="7" t="s">
        <v>22</v>
      </c>
    </row>
    <row r="100" spans="1:2">
      <c r="A100" s="8">
        <v>45025</v>
      </c>
      <c r="B100" s="7" t="s">
        <v>132</v>
      </c>
    </row>
    <row r="101" spans="1:2">
      <c r="A101" s="8">
        <v>45026</v>
      </c>
      <c r="B101" s="7" t="s">
        <v>23</v>
      </c>
    </row>
    <row r="102" spans="1:2">
      <c r="A102" s="8">
        <v>45027</v>
      </c>
      <c r="B102" s="7" t="s">
        <v>129</v>
      </c>
    </row>
    <row r="103" spans="1:2">
      <c r="A103" s="8">
        <v>45028</v>
      </c>
      <c r="B103" s="7" t="s">
        <v>130</v>
      </c>
    </row>
    <row r="104" spans="1:2">
      <c r="A104" s="8">
        <v>45029</v>
      </c>
      <c r="B104" s="7" t="s">
        <v>131</v>
      </c>
    </row>
    <row r="105" spans="1:2">
      <c r="A105" s="8">
        <v>45030</v>
      </c>
      <c r="B105" s="7" t="s">
        <v>21</v>
      </c>
    </row>
    <row r="106" spans="1:2">
      <c r="A106" s="8">
        <v>45031</v>
      </c>
      <c r="B106" s="7" t="s">
        <v>22</v>
      </c>
    </row>
    <row r="107" spans="1:2">
      <c r="A107" s="8">
        <v>45032</v>
      </c>
      <c r="B107" s="7" t="s">
        <v>132</v>
      </c>
    </row>
    <row r="108" spans="1:2">
      <c r="A108" s="8">
        <v>45033</v>
      </c>
      <c r="B108" s="7" t="s">
        <v>23</v>
      </c>
    </row>
    <row r="109" spans="1:2">
      <c r="A109" s="8">
        <v>45034</v>
      </c>
      <c r="B109" s="7" t="s">
        <v>129</v>
      </c>
    </row>
    <row r="110" spans="1:2">
      <c r="A110" s="8">
        <v>45035</v>
      </c>
      <c r="B110" s="7" t="s">
        <v>130</v>
      </c>
    </row>
    <row r="111" spans="1:2">
      <c r="A111" s="8">
        <v>45036</v>
      </c>
      <c r="B111" s="7" t="s">
        <v>131</v>
      </c>
    </row>
    <row r="112" spans="1:2">
      <c r="A112" s="8">
        <v>45037</v>
      </c>
      <c r="B112" s="7" t="s">
        <v>21</v>
      </c>
    </row>
    <row r="113" spans="1:2">
      <c r="A113" s="8">
        <v>45038</v>
      </c>
      <c r="B113" s="7" t="s">
        <v>22</v>
      </c>
    </row>
    <row r="114" spans="1:2">
      <c r="A114" s="8">
        <v>45039</v>
      </c>
      <c r="B114" s="7" t="s">
        <v>132</v>
      </c>
    </row>
    <row r="115" spans="1:2">
      <c r="A115" s="8">
        <v>45040</v>
      </c>
      <c r="B115" s="7" t="s">
        <v>23</v>
      </c>
    </row>
    <row r="116" spans="1:2">
      <c r="A116" s="8">
        <v>45041</v>
      </c>
      <c r="B116" s="7" t="s">
        <v>129</v>
      </c>
    </row>
    <row r="117" spans="1:2">
      <c r="A117" s="8">
        <v>45042</v>
      </c>
      <c r="B117" s="7" t="s">
        <v>130</v>
      </c>
    </row>
    <row r="118" spans="1:2">
      <c r="A118" s="8">
        <v>45043</v>
      </c>
      <c r="B118" s="7" t="s">
        <v>131</v>
      </c>
    </row>
    <row r="119" spans="1:2">
      <c r="A119" s="8">
        <v>45044</v>
      </c>
      <c r="B119" s="7" t="s">
        <v>21</v>
      </c>
    </row>
    <row r="120" spans="1:2">
      <c r="A120" s="8">
        <v>45045</v>
      </c>
      <c r="B120" s="7" t="s">
        <v>22</v>
      </c>
    </row>
    <row r="121" spans="1:2">
      <c r="A121" s="8">
        <v>45046</v>
      </c>
      <c r="B121" s="7" t="s">
        <v>132</v>
      </c>
    </row>
    <row r="122" spans="1:2">
      <c r="A122" s="8">
        <v>45047</v>
      </c>
      <c r="B122" s="7" t="s">
        <v>23</v>
      </c>
    </row>
    <row r="123" spans="1:2">
      <c r="A123" s="8">
        <v>45048</v>
      </c>
      <c r="B123" s="7" t="s">
        <v>129</v>
      </c>
    </row>
    <row r="124" spans="1:2">
      <c r="A124" s="8">
        <v>45049</v>
      </c>
      <c r="B124" s="7" t="s">
        <v>130</v>
      </c>
    </row>
    <row r="125" spans="1:2">
      <c r="A125" s="8">
        <v>45050</v>
      </c>
      <c r="B125" s="7" t="s">
        <v>131</v>
      </c>
    </row>
    <row r="126" spans="1:2">
      <c r="A126" s="8">
        <v>45051</v>
      </c>
      <c r="B126" s="7" t="s">
        <v>21</v>
      </c>
    </row>
    <row r="127" spans="1:2">
      <c r="A127" s="8">
        <v>45052</v>
      </c>
      <c r="B127" s="7" t="s">
        <v>22</v>
      </c>
    </row>
    <row r="128" spans="1:2">
      <c r="A128" s="8">
        <v>45053</v>
      </c>
      <c r="B128" s="7" t="s">
        <v>132</v>
      </c>
    </row>
    <row r="129" spans="1:2">
      <c r="A129" s="8">
        <v>45054</v>
      </c>
      <c r="B129" s="7" t="s">
        <v>23</v>
      </c>
    </row>
    <row r="130" spans="1:2">
      <c r="A130" s="8">
        <v>45055</v>
      </c>
      <c r="B130" s="7" t="s">
        <v>129</v>
      </c>
    </row>
    <row r="131" spans="1:2">
      <c r="A131" s="8">
        <v>45056</v>
      </c>
      <c r="B131" s="7" t="s">
        <v>130</v>
      </c>
    </row>
    <row r="132" spans="1:2">
      <c r="A132" s="8">
        <v>45057</v>
      </c>
      <c r="B132" s="7" t="s">
        <v>131</v>
      </c>
    </row>
    <row r="133" spans="1:2">
      <c r="A133" s="8">
        <v>45058</v>
      </c>
      <c r="B133" s="7" t="s">
        <v>21</v>
      </c>
    </row>
    <row r="134" spans="1:2">
      <c r="A134" s="8">
        <v>45059</v>
      </c>
      <c r="B134" s="7" t="s">
        <v>22</v>
      </c>
    </row>
    <row r="135" spans="1:2">
      <c r="A135" s="8">
        <v>45060</v>
      </c>
      <c r="B135" s="7" t="s">
        <v>132</v>
      </c>
    </row>
    <row r="136" spans="1:2">
      <c r="A136" s="8">
        <v>45061</v>
      </c>
      <c r="B136" s="7" t="s">
        <v>23</v>
      </c>
    </row>
    <row r="137" spans="1:2">
      <c r="A137" s="8">
        <v>45062</v>
      </c>
      <c r="B137" s="7" t="s">
        <v>129</v>
      </c>
    </row>
    <row r="138" spans="1:2">
      <c r="A138" s="8">
        <v>45063</v>
      </c>
      <c r="B138" s="7" t="s">
        <v>130</v>
      </c>
    </row>
    <row r="139" spans="1:2">
      <c r="A139" s="8">
        <v>45064</v>
      </c>
      <c r="B139" s="7" t="s">
        <v>131</v>
      </c>
    </row>
    <row r="140" spans="1:2">
      <c r="A140" s="8">
        <v>45065</v>
      </c>
      <c r="B140" s="7" t="s">
        <v>21</v>
      </c>
    </row>
    <row r="141" spans="1:2">
      <c r="A141" s="8">
        <v>45066</v>
      </c>
      <c r="B141" s="7" t="s">
        <v>22</v>
      </c>
    </row>
    <row r="142" spans="1:2">
      <c r="A142" s="8">
        <v>45067</v>
      </c>
      <c r="B142" s="7" t="s">
        <v>132</v>
      </c>
    </row>
    <row r="143" spans="1:2">
      <c r="A143" s="8">
        <v>45068</v>
      </c>
      <c r="B143" s="7" t="s">
        <v>23</v>
      </c>
    </row>
    <row r="144" spans="1:2">
      <c r="A144" s="8">
        <v>45069</v>
      </c>
      <c r="B144" s="7" t="s">
        <v>129</v>
      </c>
    </row>
    <row r="145" spans="1:2">
      <c r="A145" s="8">
        <v>45070</v>
      </c>
      <c r="B145" s="7" t="s">
        <v>130</v>
      </c>
    </row>
    <row r="146" spans="1:2">
      <c r="A146" s="8">
        <v>45071</v>
      </c>
      <c r="B146" s="7" t="s">
        <v>131</v>
      </c>
    </row>
    <row r="147" spans="1:2">
      <c r="A147" s="8">
        <v>45072</v>
      </c>
      <c r="B147" s="7" t="s">
        <v>21</v>
      </c>
    </row>
    <row r="148" spans="1:2">
      <c r="A148" s="8">
        <v>45073</v>
      </c>
      <c r="B148" s="7" t="s">
        <v>22</v>
      </c>
    </row>
    <row r="149" spans="1:2">
      <c r="A149" s="8">
        <v>45074</v>
      </c>
      <c r="B149" s="7" t="s">
        <v>132</v>
      </c>
    </row>
    <row r="150" spans="1:2">
      <c r="A150" s="8">
        <v>45075</v>
      </c>
      <c r="B150" s="7" t="s">
        <v>23</v>
      </c>
    </row>
    <row r="151" spans="1:2">
      <c r="A151" s="8">
        <v>45076</v>
      </c>
      <c r="B151" s="7" t="s">
        <v>129</v>
      </c>
    </row>
    <row r="152" spans="1:2">
      <c r="A152" s="8">
        <v>45077</v>
      </c>
      <c r="B152" s="7" t="s">
        <v>130</v>
      </c>
    </row>
    <row r="153" spans="1:2">
      <c r="A153" s="8">
        <v>45078</v>
      </c>
      <c r="B153" s="7" t="s">
        <v>131</v>
      </c>
    </row>
    <row r="154" spans="1:2">
      <c r="A154" s="8">
        <v>45079</v>
      </c>
      <c r="B154" s="7" t="s">
        <v>21</v>
      </c>
    </row>
    <row r="155" spans="1:2">
      <c r="A155" s="8">
        <v>45080</v>
      </c>
      <c r="B155" s="7" t="s">
        <v>22</v>
      </c>
    </row>
    <row r="156" spans="1:2">
      <c r="A156" s="8">
        <v>45081</v>
      </c>
      <c r="B156" s="7" t="s">
        <v>132</v>
      </c>
    </row>
    <row r="157" spans="1:2">
      <c r="A157" s="8">
        <v>45082</v>
      </c>
      <c r="B157" s="7" t="s">
        <v>23</v>
      </c>
    </row>
    <row r="158" spans="1:2">
      <c r="A158" s="8">
        <v>45083</v>
      </c>
      <c r="B158" s="7" t="s">
        <v>129</v>
      </c>
    </row>
    <row r="159" spans="1:2">
      <c r="A159" s="8">
        <v>45084</v>
      </c>
      <c r="B159" s="7" t="s">
        <v>130</v>
      </c>
    </row>
    <row r="160" spans="1:2">
      <c r="A160" s="8">
        <v>45085</v>
      </c>
      <c r="B160" s="7" t="s">
        <v>131</v>
      </c>
    </row>
    <row r="161" spans="1:2">
      <c r="A161" s="8">
        <v>45086</v>
      </c>
      <c r="B161" s="7" t="s">
        <v>21</v>
      </c>
    </row>
    <row r="162" spans="1:2">
      <c r="A162" s="8">
        <v>45087</v>
      </c>
      <c r="B162" s="7" t="s">
        <v>22</v>
      </c>
    </row>
    <row r="163" spans="1:2">
      <c r="A163" s="8">
        <v>45088</v>
      </c>
      <c r="B163" s="7" t="s">
        <v>132</v>
      </c>
    </row>
    <row r="164" spans="1:2">
      <c r="A164" s="8">
        <v>45089</v>
      </c>
      <c r="B164" s="7" t="s">
        <v>23</v>
      </c>
    </row>
    <row r="165" spans="1:2">
      <c r="A165" s="8">
        <v>45090</v>
      </c>
      <c r="B165" s="7" t="s">
        <v>129</v>
      </c>
    </row>
    <row r="166" spans="1:2">
      <c r="A166" s="8">
        <v>45091</v>
      </c>
      <c r="B166" s="7" t="s">
        <v>130</v>
      </c>
    </row>
    <row r="167" spans="1:2">
      <c r="A167" s="8">
        <v>45092</v>
      </c>
      <c r="B167" s="7" t="s">
        <v>131</v>
      </c>
    </row>
    <row r="168" spans="1:2">
      <c r="A168" s="8">
        <v>45093</v>
      </c>
      <c r="B168" s="7" t="s">
        <v>21</v>
      </c>
    </row>
    <row r="169" spans="1:2">
      <c r="A169" s="8">
        <v>45094</v>
      </c>
      <c r="B169" s="7" t="s">
        <v>22</v>
      </c>
    </row>
    <row r="170" spans="1:2">
      <c r="A170" s="8">
        <v>45095</v>
      </c>
      <c r="B170" s="7" t="s">
        <v>132</v>
      </c>
    </row>
    <row r="171" spans="1:2">
      <c r="A171" s="8">
        <v>45096</v>
      </c>
      <c r="B171" s="7" t="s">
        <v>23</v>
      </c>
    </row>
    <row r="172" spans="1:2">
      <c r="A172" s="8">
        <v>45097</v>
      </c>
      <c r="B172" s="7" t="s">
        <v>129</v>
      </c>
    </row>
    <row r="173" spans="1:2">
      <c r="A173" s="8">
        <v>45098</v>
      </c>
      <c r="B173" s="7" t="s">
        <v>130</v>
      </c>
    </row>
    <row r="174" spans="1:2">
      <c r="A174" s="8">
        <v>45099</v>
      </c>
      <c r="B174" s="7" t="s">
        <v>131</v>
      </c>
    </row>
    <row r="175" spans="1:2">
      <c r="A175" s="8">
        <v>45100</v>
      </c>
      <c r="B175" s="7" t="s">
        <v>21</v>
      </c>
    </row>
    <row r="176" spans="1:2">
      <c r="A176" s="8">
        <v>45101</v>
      </c>
      <c r="B176" s="7" t="s">
        <v>22</v>
      </c>
    </row>
    <row r="177" spans="1:2">
      <c r="A177" s="8">
        <v>45102</v>
      </c>
      <c r="B177" s="7" t="s">
        <v>132</v>
      </c>
    </row>
    <row r="178" spans="1:2">
      <c r="A178" s="8">
        <v>45103</v>
      </c>
      <c r="B178" s="7" t="s">
        <v>23</v>
      </c>
    </row>
    <row r="179" spans="1:2">
      <c r="A179" s="8">
        <v>45104</v>
      </c>
      <c r="B179" s="7" t="s">
        <v>129</v>
      </c>
    </row>
    <row r="180" spans="1:2">
      <c r="A180" s="8">
        <v>45105</v>
      </c>
      <c r="B180" s="7" t="s">
        <v>130</v>
      </c>
    </row>
    <row r="181" spans="1:2">
      <c r="A181" s="8">
        <v>45106</v>
      </c>
      <c r="B181" s="7" t="s">
        <v>131</v>
      </c>
    </row>
    <row r="182" spans="1:2">
      <c r="A182" s="8">
        <v>45107</v>
      </c>
      <c r="B182" s="7" t="s">
        <v>21</v>
      </c>
    </row>
    <row r="183" spans="1:2">
      <c r="A183" s="8">
        <v>45108</v>
      </c>
      <c r="B183" s="7" t="s">
        <v>22</v>
      </c>
    </row>
    <row r="184" spans="1:2">
      <c r="A184" s="8">
        <v>45109</v>
      </c>
      <c r="B184" s="7" t="s">
        <v>132</v>
      </c>
    </row>
    <row r="185" spans="1:2">
      <c r="A185" s="8">
        <v>45110</v>
      </c>
      <c r="B185" s="7" t="s">
        <v>23</v>
      </c>
    </row>
    <row r="186" spans="1:2">
      <c r="A186" s="8">
        <v>45111</v>
      </c>
      <c r="B186" s="7" t="s">
        <v>129</v>
      </c>
    </row>
    <row r="187" spans="1:2">
      <c r="A187" s="8">
        <v>45112</v>
      </c>
      <c r="B187" s="7" t="s">
        <v>130</v>
      </c>
    </row>
    <row r="188" spans="1:2">
      <c r="A188" s="8">
        <v>45113</v>
      </c>
      <c r="B188" s="7" t="s">
        <v>131</v>
      </c>
    </row>
    <row r="189" spans="1:2">
      <c r="A189" s="8">
        <v>45114</v>
      </c>
      <c r="B189" s="7" t="s">
        <v>21</v>
      </c>
    </row>
    <row r="190" spans="1:2">
      <c r="A190" s="8">
        <v>45115</v>
      </c>
      <c r="B190" s="7" t="s">
        <v>22</v>
      </c>
    </row>
    <row r="191" spans="1:2">
      <c r="A191" s="8">
        <v>45116</v>
      </c>
      <c r="B191" s="7" t="s">
        <v>132</v>
      </c>
    </row>
    <row r="192" spans="1:2">
      <c r="A192" s="8">
        <v>45117</v>
      </c>
      <c r="B192" s="7" t="s">
        <v>23</v>
      </c>
    </row>
    <row r="193" spans="1:2">
      <c r="A193" s="8">
        <v>45118</v>
      </c>
      <c r="B193" s="7" t="s">
        <v>129</v>
      </c>
    </row>
    <row r="194" spans="1:2">
      <c r="A194" s="8">
        <v>45119</v>
      </c>
      <c r="B194" s="7" t="s">
        <v>130</v>
      </c>
    </row>
    <row r="195" spans="1:2">
      <c r="A195" s="8">
        <v>45120</v>
      </c>
      <c r="B195" s="7" t="s">
        <v>131</v>
      </c>
    </row>
    <row r="196" spans="1:2">
      <c r="A196" s="8">
        <v>45121</v>
      </c>
      <c r="B196" s="7" t="s">
        <v>21</v>
      </c>
    </row>
    <row r="197" spans="1:2">
      <c r="A197" s="8">
        <v>45122</v>
      </c>
      <c r="B197" s="7" t="s">
        <v>22</v>
      </c>
    </row>
    <row r="198" spans="1:2">
      <c r="A198" s="8">
        <v>45123</v>
      </c>
      <c r="B198" s="7" t="s">
        <v>132</v>
      </c>
    </row>
    <row r="199" spans="1:2">
      <c r="A199" s="8">
        <v>45124</v>
      </c>
      <c r="B199" s="7" t="s">
        <v>23</v>
      </c>
    </row>
    <row r="200" spans="1:2">
      <c r="A200" s="8">
        <v>45125</v>
      </c>
      <c r="B200" s="7" t="s">
        <v>129</v>
      </c>
    </row>
    <row r="201" spans="1:2">
      <c r="A201" s="8">
        <v>45126</v>
      </c>
      <c r="B201" s="7" t="s">
        <v>130</v>
      </c>
    </row>
    <row r="202" spans="1:2">
      <c r="A202" s="8">
        <v>45127</v>
      </c>
      <c r="B202" s="7" t="s">
        <v>131</v>
      </c>
    </row>
    <row r="203" spans="1:2">
      <c r="A203" s="8">
        <v>45128</v>
      </c>
      <c r="B203" s="7" t="s">
        <v>21</v>
      </c>
    </row>
    <row r="204" spans="1:2">
      <c r="A204" s="8">
        <v>45129</v>
      </c>
      <c r="B204" s="7" t="s">
        <v>22</v>
      </c>
    </row>
    <row r="205" spans="1:2">
      <c r="A205" s="8">
        <v>45130</v>
      </c>
      <c r="B205" s="7" t="s">
        <v>132</v>
      </c>
    </row>
    <row r="206" spans="1:2">
      <c r="A206" s="8">
        <v>45131</v>
      </c>
      <c r="B206" s="7" t="s">
        <v>23</v>
      </c>
    </row>
    <row r="207" spans="1:2">
      <c r="A207" s="8">
        <v>45132</v>
      </c>
      <c r="B207" s="7" t="s">
        <v>129</v>
      </c>
    </row>
    <row r="208" spans="1:2">
      <c r="A208" s="8">
        <v>45133</v>
      </c>
      <c r="B208" s="7" t="s">
        <v>130</v>
      </c>
    </row>
    <row r="209" spans="1:2">
      <c r="A209" s="8">
        <v>45134</v>
      </c>
      <c r="B209" s="7" t="s">
        <v>131</v>
      </c>
    </row>
    <row r="210" spans="1:2">
      <c r="A210" s="8">
        <v>45135</v>
      </c>
      <c r="B210" s="7" t="s">
        <v>21</v>
      </c>
    </row>
    <row r="211" spans="1:2">
      <c r="A211" s="8">
        <v>45136</v>
      </c>
      <c r="B211" s="7" t="s">
        <v>22</v>
      </c>
    </row>
    <row r="212" spans="1:2">
      <c r="A212" s="8">
        <v>45137</v>
      </c>
      <c r="B212" s="7" t="s">
        <v>132</v>
      </c>
    </row>
    <row r="213" spans="1:2">
      <c r="A213" s="8">
        <v>45138</v>
      </c>
      <c r="B213" s="7" t="s">
        <v>23</v>
      </c>
    </row>
    <row r="214" spans="1:2">
      <c r="A214" s="8">
        <v>45139</v>
      </c>
      <c r="B214" s="7" t="s">
        <v>129</v>
      </c>
    </row>
    <row r="215" spans="1:2">
      <c r="A215" s="8">
        <v>45140</v>
      </c>
      <c r="B215" s="7" t="s">
        <v>130</v>
      </c>
    </row>
    <row r="216" spans="1:2">
      <c r="A216" s="8">
        <v>45141</v>
      </c>
      <c r="B216" s="7" t="s">
        <v>131</v>
      </c>
    </row>
    <row r="217" spans="1:2">
      <c r="A217" s="8">
        <v>45142</v>
      </c>
      <c r="B217" s="7" t="s">
        <v>21</v>
      </c>
    </row>
    <row r="218" spans="1:2">
      <c r="A218" s="8">
        <v>45143</v>
      </c>
      <c r="B218" s="7" t="s">
        <v>22</v>
      </c>
    </row>
    <row r="219" spans="1:2">
      <c r="A219" s="8">
        <v>45144</v>
      </c>
      <c r="B219" s="7" t="s">
        <v>132</v>
      </c>
    </row>
    <row r="220" spans="1:2">
      <c r="A220" s="8">
        <v>45145</v>
      </c>
      <c r="B220" s="7" t="s">
        <v>23</v>
      </c>
    </row>
    <row r="221" spans="1:2">
      <c r="A221" s="8">
        <v>45146</v>
      </c>
      <c r="B221" s="7" t="s">
        <v>129</v>
      </c>
    </row>
    <row r="222" spans="1:2">
      <c r="A222" s="8">
        <v>45147</v>
      </c>
      <c r="B222" s="7" t="s">
        <v>130</v>
      </c>
    </row>
    <row r="223" spans="1:2">
      <c r="A223" s="8">
        <v>45148</v>
      </c>
      <c r="B223" s="7" t="s">
        <v>131</v>
      </c>
    </row>
    <row r="224" spans="1:2">
      <c r="A224" s="8">
        <v>45149</v>
      </c>
      <c r="B224" s="7" t="s">
        <v>21</v>
      </c>
    </row>
    <row r="225" spans="1:2">
      <c r="A225" s="8">
        <v>45150</v>
      </c>
      <c r="B225" s="7" t="s">
        <v>22</v>
      </c>
    </row>
    <row r="226" spans="1:2">
      <c r="A226" s="8">
        <v>45151</v>
      </c>
      <c r="B226" s="7" t="s">
        <v>132</v>
      </c>
    </row>
    <row r="227" spans="1:2">
      <c r="A227" s="8">
        <v>45152</v>
      </c>
      <c r="B227" s="7" t="s">
        <v>23</v>
      </c>
    </row>
    <row r="228" spans="1:2">
      <c r="A228" s="8">
        <v>45153</v>
      </c>
      <c r="B228" s="7" t="s">
        <v>129</v>
      </c>
    </row>
    <row r="229" spans="1:2">
      <c r="A229" s="8">
        <v>45154</v>
      </c>
      <c r="B229" s="7" t="s">
        <v>130</v>
      </c>
    </row>
    <row r="230" spans="1:2">
      <c r="A230" s="8">
        <v>45155</v>
      </c>
      <c r="B230" s="7" t="s">
        <v>131</v>
      </c>
    </row>
    <row r="231" spans="1:2">
      <c r="A231" s="8">
        <v>45156</v>
      </c>
      <c r="B231" s="7" t="s">
        <v>21</v>
      </c>
    </row>
    <row r="232" spans="1:2">
      <c r="A232" s="8">
        <v>45157</v>
      </c>
      <c r="B232" s="7" t="s">
        <v>22</v>
      </c>
    </row>
    <row r="233" spans="1:2">
      <c r="A233" s="8">
        <v>45158</v>
      </c>
      <c r="B233" s="7" t="s">
        <v>132</v>
      </c>
    </row>
    <row r="234" spans="1:2">
      <c r="A234" s="8">
        <v>45159</v>
      </c>
      <c r="B234" s="7" t="s">
        <v>23</v>
      </c>
    </row>
    <row r="235" spans="1:2">
      <c r="A235" s="8">
        <v>45160</v>
      </c>
      <c r="B235" s="7" t="s">
        <v>129</v>
      </c>
    </row>
    <row r="236" spans="1:2">
      <c r="A236" s="8">
        <v>45161</v>
      </c>
      <c r="B236" s="7" t="s">
        <v>130</v>
      </c>
    </row>
    <row r="237" spans="1:2">
      <c r="A237" s="8">
        <v>45162</v>
      </c>
      <c r="B237" s="7" t="s">
        <v>131</v>
      </c>
    </row>
    <row r="238" spans="1:2">
      <c r="A238" s="8">
        <v>45163</v>
      </c>
      <c r="B238" s="7" t="s">
        <v>21</v>
      </c>
    </row>
    <row r="239" spans="1:2">
      <c r="A239" s="8">
        <v>45164</v>
      </c>
      <c r="B239" s="7" t="s">
        <v>22</v>
      </c>
    </row>
    <row r="240" spans="1:2">
      <c r="A240" s="8">
        <v>45165</v>
      </c>
      <c r="B240" s="7" t="s">
        <v>132</v>
      </c>
    </row>
    <row r="241" spans="1:2">
      <c r="A241" s="8">
        <v>45166</v>
      </c>
      <c r="B241" s="7" t="s">
        <v>23</v>
      </c>
    </row>
    <row r="242" spans="1:2">
      <c r="A242" s="8">
        <v>45167</v>
      </c>
      <c r="B242" s="7" t="s">
        <v>129</v>
      </c>
    </row>
    <row r="243" spans="1:2">
      <c r="A243" s="8">
        <v>45168</v>
      </c>
      <c r="B243" s="7" t="s">
        <v>130</v>
      </c>
    </row>
    <row r="244" spans="1:2">
      <c r="A244" s="8">
        <v>45169</v>
      </c>
      <c r="B244" s="7" t="s">
        <v>131</v>
      </c>
    </row>
    <row r="245" spans="1:2">
      <c r="A245" s="8">
        <v>45170</v>
      </c>
      <c r="B245" s="7" t="s">
        <v>21</v>
      </c>
    </row>
    <row r="246" spans="1:2">
      <c r="A246" s="8">
        <v>45171</v>
      </c>
      <c r="B246" s="7" t="s">
        <v>22</v>
      </c>
    </row>
    <row r="247" spans="1:2">
      <c r="A247" s="8">
        <v>45172</v>
      </c>
      <c r="B247" s="7" t="s">
        <v>132</v>
      </c>
    </row>
    <row r="248" spans="1:2">
      <c r="A248" s="8">
        <v>45173</v>
      </c>
      <c r="B248" s="7" t="s">
        <v>23</v>
      </c>
    </row>
    <row r="249" spans="1:2">
      <c r="A249" s="8">
        <v>45174</v>
      </c>
      <c r="B249" s="7" t="s">
        <v>129</v>
      </c>
    </row>
    <row r="250" spans="1:2">
      <c r="A250" s="8">
        <v>45175</v>
      </c>
      <c r="B250" s="7" t="s">
        <v>130</v>
      </c>
    </row>
    <row r="251" spans="1:2">
      <c r="A251" s="8">
        <v>45176</v>
      </c>
      <c r="B251" s="7" t="s">
        <v>131</v>
      </c>
    </row>
    <row r="252" spans="1:2">
      <c r="A252" s="8">
        <v>45177</v>
      </c>
      <c r="B252" s="7" t="s">
        <v>21</v>
      </c>
    </row>
    <row r="253" spans="1:2">
      <c r="A253" s="8">
        <v>45178</v>
      </c>
      <c r="B253" s="7" t="s">
        <v>22</v>
      </c>
    </row>
    <row r="254" spans="1:2">
      <c r="A254" s="8">
        <v>45179</v>
      </c>
      <c r="B254" s="7" t="s">
        <v>132</v>
      </c>
    </row>
    <row r="255" spans="1:2">
      <c r="A255" s="8">
        <v>45180</v>
      </c>
      <c r="B255" s="7" t="s">
        <v>23</v>
      </c>
    </row>
    <row r="256" spans="1:2">
      <c r="A256" s="8">
        <v>45181</v>
      </c>
      <c r="B256" s="7" t="s">
        <v>129</v>
      </c>
    </row>
    <row r="257" spans="1:2">
      <c r="A257" s="8">
        <v>45182</v>
      </c>
      <c r="B257" s="7" t="s">
        <v>130</v>
      </c>
    </row>
    <row r="258" spans="1:2">
      <c r="A258" s="8">
        <v>45183</v>
      </c>
      <c r="B258" s="7" t="s">
        <v>131</v>
      </c>
    </row>
    <row r="259" spans="1:2">
      <c r="A259" s="8">
        <v>45184</v>
      </c>
      <c r="B259" s="7" t="s">
        <v>21</v>
      </c>
    </row>
    <row r="260" spans="1:2">
      <c r="A260" s="8">
        <v>45185</v>
      </c>
      <c r="B260" s="7" t="s">
        <v>22</v>
      </c>
    </row>
    <row r="261" spans="1:2">
      <c r="A261" s="8">
        <v>45186</v>
      </c>
      <c r="B261" s="7" t="s">
        <v>132</v>
      </c>
    </row>
    <row r="262" spans="1:2">
      <c r="A262" s="8">
        <v>45187</v>
      </c>
      <c r="B262" s="7" t="s">
        <v>23</v>
      </c>
    </row>
    <row r="263" spans="1:2">
      <c r="A263" s="8">
        <v>45188</v>
      </c>
      <c r="B263" s="7" t="s">
        <v>129</v>
      </c>
    </row>
    <row r="264" spans="1:2">
      <c r="A264" s="8">
        <v>45189</v>
      </c>
      <c r="B264" s="7" t="s">
        <v>130</v>
      </c>
    </row>
    <row r="265" spans="1:2">
      <c r="A265" s="8">
        <v>45190</v>
      </c>
      <c r="B265" s="7" t="s">
        <v>131</v>
      </c>
    </row>
    <row r="266" spans="1:2">
      <c r="A266" s="8">
        <v>45191</v>
      </c>
      <c r="B266" s="7" t="s">
        <v>21</v>
      </c>
    </row>
    <row r="267" spans="1:2">
      <c r="A267" s="8">
        <v>45192</v>
      </c>
      <c r="B267" s="7" t="s">
        <v>22</v>
      </c>
    </row>
    <row r="268" spans="1:2">
      <c r="A268" s="8">
        <v>45193</v>
      </c>
      <c r="B268" s="7" t="s">
        <v>132</v>
      </c>
    </row>
    <row r="269" spans="1:2">
      <c r="A269" s="8">
        <v>45194</v>
      </c>
      <c r="B269" s="7" t="s">
        <v>23</v>
      </c>
    </row>
    <row r="270" spans="1:2">
      <c r="A270" s="8">
        <v>45195</v>
      </c>
      <c r="B270" s="7" t="s">
        <v>129</v>
      </c>
    </row>
    <row r="271" spans="1:2">
      <c r="A271" s="8">
        <v>45196</v>
      </c>
      <c r="B271" s="7" t="s">
        <v>130</v>
      </c>
    </row>
    <row r="272" spans="1:2">
      <c r="A272" s="8">
        <v>45197</v>
      </c>
      <c r="B272" s="7" t="s">
        <v>131</v>
      </c>
    </row>
    <row r="273" spans="1:2">
      <c r="A273" s="8">
        <v>45198</v>
      </c>
      <c r="B273" s="7" t="s">
        <v>21</v>
      </c>
    </row>
    <row r="274" spans="1:2">
      <c r="A274" s="8">
        <v>45199</v>
      </c>
      <c r="B274" s="7" t="s">
        <v>22</v>
      </c>
    </row>
    <row r="275" spans="1:2">
      <c r="A275" s="8">
        <v>45200</v>
      </c>
      <c r="B275" s="7" t="s">
        <v>132</v>
      </c>
    </row>
    <row r="276" spans="1:2">
      <c r="A276" s="8">
        <v>45201</v>
      </c>
      <c r="B276" s="7" t="s">
        <v>23</v>
      </c>
    </row>
    <row r="277" spans="1:2">
      <c r="A277" s="8">
        <v>45202</v>
      </c>
      <c r="B277" s="7" t="s">
        <v>129</v>
      </c>
    </row>
    <row r="278" spans="1:2">
      <c r="A278" s="8">
        <v>45203</v>
      </c>
      <c r="B278" s="7" t="s">
        <v>130</v>
      </c>
    </row>
    <row r="279" spans="1:2">
      <c r="A279" s="8">
        <v>45204</v>
      </c>
      <c r="B279" s="7" t="s">
        <v>131</v>
      </c>
    </row>
    <row r="280" spans="1:2">
      <c r="A280" s="8">
        <v>45205</v>
      </c>
      <c r="B280" s="7" t="s">
        <v>21</v>
      </c>
    </row>
    <row r="281" spans="1:2">
      <c r="A281" s="8">
        <v>45206</v>
      </c>
      <c r="B281" s="7" t="s">
        <v>22</v>
      </c>
    </row>
    <row r="282" spans="1:2">
      <c r="A282" s="8">
        <v>45207</v>
      </c>
      <c r="B282" s="7" t="s">
        <v>132</v>
      </c>
    </row>
    <row r="283" spans="1:2">
      <c r="A283" s="8">
        <v>45208</v>
      </c>
      <c r="B283" s="7" t="s">
        <v>23</v>
      </c>
    </row>
    <row r="284" spans="1:2">
      <c r="A284" s="8">
        <v>45209</v>
      </c>
      <c r="B284" s="7" t="s">
        <v>129</v>
      </c>
    </row>
    <row r="285" spans="1:2">
      <c r="A285" s="8">
        <v>45210</v>
      </c>
      <c r="B285" s="7" t="s">
        <v>130</v>
      </c>
    </row>
    <row r="286" spans="1:2">
      <c r="A286" s="8">
        <v>45211</v>
      </c>
      <c r="B286" s="7" t="s">
        <v>131</v>
      </c>
    </row>
    <row r="287" spans="1:2">
      <c r="A287" s="8">
        <v>45212</v>
      </c>
      <c r="B287" s="7" t="s">
        <v>21</v>
      </c>
    </row>
    <row r="288" spans="1:2">
      <c r="A288" s="8">
        <v>45213</v>
      </c>
      <c r="B288" s="7" t="s">
        <v>22</v>
      </c>
    </row>
    <row r="289" spans="1:2">
      <c r="A289" s="8">
        <v>45214</v>
      </c>
      <c r="B289" s="7" t="s">
        <v>132</v>
      </c>
    </row>
    <row r="290" spans="1:2">
      <c r="A290" s="8">
        <v>45215</v>
      </c>
      <c r="B290" s="7" t="s">
        <v>23</v>
      </c>
    </row>
    <row r="291" spans="1:2">
      <c r="A291" s="8">
        <v>45216</v>
      </c>
      <c r="B291" s="7" t="s">
        <v>129</v>
      </c>
    </row>
    <row r="292" spans="1:2">
      <c r="A292" s="8">
        <v>45217</v>
      </c>
      <c r="B292" s="7" t="s">
        <v>130</v>
      </c>
    </row>
    <row r="293" spans="1:2">
      <c r="A293" s="8">
        <v>45218</v>
      </c>
      <c r="B293" s="7" t="s">
        <v>131</v>
      </c>
    </row>
    <row r="294" spans="1:2">
      <c r="A294" s="8">
        <v>45219</v>
      </c>
      <c r="B294" s="7" t="s">
        <v>21</v>
      </c>
    </row>
    <row r="295" spans="1:2">
      <c r="A295" s="8">
        <v>45220</v>
      </c>
      <c r="B295" s="7" t="s">
        <v>22</v>
      </c>
    </row>
    <row r="296" spans="1:2">
      <c r="A296" s="8">
        <v>45221</v>
      </c>
      <c r="B296" s="7" t="s">
        <v>132</v>
      </c>
    </row>
    <row r="297" spans="1:2">
      <c r="A297" s="8">
        <v>45222</v>
      </c>
      <c r="B297" s="7" t="s">
        <v>23</v>
      </c>
    </row>
    <row r="298" spans="1:2">
      <c r="A298" s="8">
        <v>45223</v>
      </c>
      <c r="B298" s="7" t="s">
        <v>129</v>
      </c>
    </row>
    <row r="299" spans="1:2">
      <c r="A299" s="8">
        <v>45224</v>
      </c>
      <c r="B299" s="7" t="s">
        <v>130</v>
      </c>
    </row>
    <row r="300" spans="1:2">
      <c r="A300" s="8">
        <v>45225</v>
      </c>
      <c r="B300" s="7" t="s">
        <v>131</v>
      </c>
    </row>
    <row r="301" spans="1:2">
      <c r="A301" s="8">
        <v>45226</v>
      </c>
      <c r="B301" s="7" t="s">
        <v>21</v>
      </c>
    </row>
    <row r="302" spans="1:2">
      <c r="A302" s="8">
        <v>45227</v>
      </c>
      <c r="B302" s="7" t="s">
        <v>22</v>
      </c>
    </row>
    <row r="303" spans="1:2">
      <c r="A303" s="8">
        <v>45228</v>
      </c>
      <c r="B303" s="7" t="s">
        <v>132</v>
      </c>
    </row>
    <row r="304" spans="1:2">
      <c r="A304" s="8">
        <v>45229</v>
      </c>
      <c r="B304" s="7" t="s">
        <v>23</v>
      </c>
    </row>
    <row r="305" spans="1:2">
      <c r="A305" s="8">
        <v>45230</v>
      </c>
      <c r="B305" s="7" t="s">
        <v>129</v>
      </c>
    </row>
    <row r="306" spans="1:2">
      <c r="A306" s="8">
        <v>45231</v>
      </c>
      <c r="B306" s="7" t="s">
        <v>130</v>
      </c>
    </row>
    <row r="307" spans="1:2">
      <c r="A307" s="8">
        <v>45232</v>
      </c>
      <c r="B307" s="7" t="s">
        <v>131</v>
      </c>
    </row>
    <row r="308" spans="1:2">
      <c r="A308" s="8">
        <v>45233</v>
      </c>
      <c r="B308" s="7" t="s">
        <v>21</v>
      </c>
    </row>
    <row r="309" spans="1:2">
      <c r="A309" s="8">
        <v>45234</v>
      </c>
      <c r="B309" s="7" t="s">
        <v>22</v>
      </c>
    </row>
    <row r="310" spans="1:2">
      <c r="A310" s="8">
        <v>45235</v>
      </c>
      <c r="B310" s="7" t="s">
        <v>132</v>
      </c>
    </row>
    <row r="311" spans="1:2">
      <c r="A311" s="8">
        <v>45236</v>
      </c>
      <c r="B311" s="7" t="s">
        <v>23</v>
      </c>
    </row>
    <row r="312" spans="1:2">
      <c r="A312" s="8">
        <v>45237</v>
      </c>
      <c r="B312" s="7" t="s">
        <v>129</v>
      </c>
    </row>
    <row r="313" spans="1:2">
      <c r="A313" s="8">
        <v>45238</v>
      </c>
      <c r="B313" s="7" t="s">
        <v>130</v>
      </c>
    </row>
    <row r="314" spans="1:2">
      <c r="A314" s="8">
        <v>45239</v>
      </c>
      <c r="B314" s="7" t="s">
        <v>131</v>
      </c>
    </row>
    <row r="315" spans="1:2">
      <c r="A315" s="8">
        <v>45240</v>
      </c>
      <c r="B315" s="7" t="s">
        <v>21</v>
      </c>
    </row>
    <row r="316" spans="1:2">
      <c r="A316" s="8">
        <v>45241</v>
      </c>
      <c r="B316" s="7" t="s">
        <v>22</v>
      </c>
    </row>
    <row r="317" spans="1:2">
      <c r="A317" s="8">
        <v>45242</v>
      </c>
      <c r="B317" s="7" t="s">
        <v>132</v>
      </c>
    </row>
    <row r="318" spans="1:2">
      <c r="A318" s="8">
        <v>45243</v>
      </c>
      <c r="B318" s="7" t="s">
        <v>23</v>
      </c>
    </row>
    <row r="319" spans="1:2">
      <c r="A319" s="8">
        <v>45244</v>
      </c>
      <c r="B319" s="7" t="s">
        <v>129</v>
      </c>
    </row>
    <row r="320" spans="1:2">
      <c r="A320" s="8">
        <v>45245</v>
      </c>
      <c r="B320" s="7" t="s">
        <v>130</v>
      </c>
    </row>
    <row r="321" spans="1:2">
      <c r="A321" s="8">
        <v>45246</v>
      </c>
      <c r="B321" s="7" t="s">
        <v>131</v>
      </c>
    </row>
    <row r="322" spans="1:2">
      <c r="A322" s="8">
        <v>45247</v>
      </c>
      <c r="B322" s="7" t="s">
        <v>21</v>
      </c>
    </row>
    <row r="323" spans="1:2">
      <c r="A323" s="8">
        <v>45248</v>
      </c>
      <c r="B323" s="7" t="s">
        <v>22</v>
      </c>
    </row>
    <row r="324" spans="1:2">
      <c r="A324" s="8">
        <v>45249</v>
      </c>
      <c r="B324" s="7" t="s">
        <v>132</v>
      </c>
    </row>
    <row r="325" spans="1:2">
      <c r="A325" s="8">
        <v>45250</v>
      </c>
      <c r="B325" s="7" t="s">
        <v>23</v>
      </c>
    </row>
    <row r="326" spans="1:2">
      <c r="A326" s="8">
        <v>45251</v>
      </c>
      <c r="B326" s="7" t="s">
        <v>129</v>
      </c>
    </row>
    <row r="327" spans="1:2">
      <c r="A327" s="8">
        <v>45252</v>
      </c>
      <c r="B327" s="7" t="s">
        <v>130</v>
      </c>
    </row>
    <row r="328" spans="1:2">
      <c r="A328" s="8">
        <v>45253</v>
      </c>
      <c r="B328" s="7" t="s">
        <v>131</v>
      </c>
    </row>
    <row r="329" spans="1:2">
      <c r="A329" s="8">
        <v>45254</v>
      </c>
      <c r="B329" s="7" t="s">
        <v>21</v>
      </c>
    </row>
    <row r="330" spans="1:2">
      <c r="A330" s="8">
        <v>45255</v>
      </c>
      <c r="B330" s="7" t="s">
        <v>22</v>
      </c>
    </row>
    <row r="331" spans="1:2">
      <c r="A331" s="8">
        <v>45256</v>
      </c>
      <c r="B331" s="7" t="s">
        <v>132</v>
      </c>
    </row>
    <row r="332" spans="1:2">
      <c r="A332" s="8">
        <v>45257</v>
      </c>
      <c r="B332" s="7" t="s">
        <v>23</v>
      </c>
    </row>
    <row r="333" spans="1:2">
      <c r="A333" s="8">
        <v>45258</v>
      </c>
      <c r="B333" s="7" t="s">
        <v>129</v>
      </c>
    </row>
    <row r="334" spans="1:2">
      <c r="A334" s="8">
        <v>45259</v>
      </c>
      <c r="B334" s="7" t="s">
        <v>130</v>
      </c>
    </row>
    <row r="335" spans="1:2">
      <c r="A335" s="8">
        <v>45260</v>
      </c>
      <c r="B335" s="7" t="s">
        <v>131</v>
      </c>
    </row>
    <row r="336" spans="1:2">
      <c r="A336" s="8">
        <v>45261</v>
      </c>
      <c r="B336" s="7" t="s">
        <v>21</v>
      </c>
    </row>
    <row r="337" spans="1:2">
      <c r="A337" s="8">
        <v>45262</v>
      </c>
      <c r="B337" s="7" t="s">
        <v>22</v>
      </c>
    </row>
    <row r="338" spans="1:2">
      <c r="A338" s="8">
        <v>45263</v>
      </c>
      <c r="B338" s="7" t="s">
        <v>132</v>
      </c>
    </row>
    <row r="339" spans="1:2">
      <c r="A339" s="8">
        <v>45264</v>
      </c>
      <c r="B339" s="7" t="s">
        <v>23</v>
      </c>
    </row>
    <row r="340" spans="1:2">
      <c r="A340" s="8">
        <v>45265</v>
      </c>
      <c r="B340" s="7" t="s">
        <v>129</v>
      </c>
    </row>
    <row r="341" spans="1:2">
      <c r="A341" s="8">
        <v>45266</v>
      </c>
      <c r="B341" s="7" t="s">
        <v>130</v>
      </c>
    </row>
    <row r="342" spans="1:2">
      <c r="A342" s="8">
        <v>45267</v>
      </c>
      <c r="B342" s="7" t="s">
        <v>131</v>
      </c>
    </row>
    <row r="343" spans="1:2">
      <c r="A343" s="8">
        <v>45268</v>
      </c>
      <c r="B343" s="7" t="s">
        <v>21</v>
      </c>
    </row>
    <row r="344" spans="1:2">
      <c r="A344" s="8">
        <v>45269</v>
      </c>
      <c r="B344" s="7" t="s">
        <v>22</v>
      </c>
    </row>
    <row r="345" spans="1:2">
      <c r="A345" s="8">
        <v>45270</v>
      </c>
      <c r="B345" s="7" t="s">
        <v>132</v>
      </c>
    </row>
    <row r="346" spans="1:2">
      <c r="A346" s="8">
        <v>45271</v>
      </c>
      <c r="B346" s="7" t="s">
        <v>23</v>
      </c>
    </row>
    <row r="347" spans="1:2">
      <c r="A347" s="8">
        <v>45272</v>
      </c>
      <c r="B347" s="7" t="s">
        <v>129</v>
      </c>
    </row>
    <row r="348" spans="1:2">
      <c r="A348" s="8">
        <v>45273</v>
      </c>
      <c r="B348" s="7" t="s">
        <v>130</v>
      </c>
    </row>
    <row r="349" spans="1:2">
      <c r="A349" s="8">
        <v>45274</v>
      </c>
      <c r="B349" s="7" t="s">
        <v>131</v>
      </c>
    </row>
    <row r="350" spans="1:2">
      <c r="A350" s="8">
        <v>45275</v>
      </c>
      <c r="B350" s="7" t="s">
        <v>21</v>
      </c>
    </row>
    <row r="351" spans="1:2">
      <c r="A351" s="8">
        <v>45276</v>
      </c>
      <c r="B351" s="7" t="s">
        <v>22</v>
      </c>
    </row>
    <row r="352" spans="1:2">
      <c r="A352" s="8">
        <v>45277</v>
      </c>
      <c r="B352" s="7" t="s">
        <v>132</v>
      </c>
    </row>
    <row r="353" spans="1:2">
      <c r="A353" s="8">
        <v>45278</v>
      </c>
      <c r="B353" s="7" t="s">
        <v>23</v>
      </c>
    </row>
    <row r="354" spans="1:2">
      <c r="A354" s="8">
        <v>45279</v>
      </c>
      <c r="B354" s="7" t="s">
        <v>129</v>
      </c>
    </row>
    <row r="355" spans="1:2">
      <c r="A355" s="8">
        <v>45280</v>
      </c>
      <c r="B355" s="7" t="s">
        <v>130</v>
      </c>
    </row>
    <row r="356" spans="1:2">
      <c r="A356" s="8">
        <v>45281</v>
      </c>
      <c r="B356" s="7" t="s">
        <v>131</v>
      </c>
    </row>
    <row r="357" spans="1:2">
      <c r="A357" s="8">
        <v>45282</v>
      </c>
      <c r="B357" s="7" t="s">
        <v>21</v>
      </c>
    </row>
    <row r="358" spans="1:2">
      <c r="A358" s="8">
        <v>45283</v>
      </c>
      <c r="B358" s="7" t="s">
        <v>22</v>
      </c>
    </row>
    <row r="359" spans="1:2">
      <c r="A359" s="8">
        <v>45284</v>
      </c>
      <c r="B359" s="7" t="s">
        <v>132</v>
      </c>
    </row>
    <row r="360" spans="1:2">
      <c r="A360" s="8">
        <v>45285</v>
      </c>
      <c r="B360" s="7" t="s">
        <v>23</v>
      </c>
    </row>
    <row r="361" spans="1:2">
      <c r="A361" s="8">
        <v>45286</v>
      </c>
      <c r="B361" s="7" t="s">
        <v>129</v>
      </c>
    </row>
    <row r="362" spans="1:2">
      <c r="A362" s="8">
        <v>45287</v>
      </c>
      <c r="B362" s="7" t="s">
        <v>130</v>
      </c>
    </row>
    <row r="363" spans="1:2">
      <c r="A363" s="8">
        <v>45288</v>
      </c>
      <c r="B363" s="7" t="s">
        <v>131</v>
      </c>
    </row>
    <row r="364" spans="1:2">
      <c r="A364" s="8">
        <v>45289</v>
      </c>
      <c r="B364" s="7" t="s">
        <v>21</v>
      </c>
    </row>
    <row r="365" spans="1:2">
      <c r="A365" s="8">
        <v>45290</v>
      </c>
      <c r="B365" s="7" t="s">
        <v>22</v>
      </c>
    </row>
    <row r="366" spans="1:2">
      <c r="A366" s="8">
        <v>45291</v>
      </c>
      <c r="B366" s="7" t="s">
        <v>132</v>
      </c>
    </row>
  </sheetData>
  <protectedRanges>
    <protectedRange sqref="E29:G36" name="範圍2"/>
    <protectedRange sqref="E37:E40 G37:G40" name="範圍2_1"/>
    <protectedRange sqref="E41:F41 E44:F44" name="範圍2_2"/>
    <protectedRange sqref="E22:E28 F21:F27" name="範圍2_3"/>
  </protectedRanges>
  <autoFilter ref="A1:B366" xr:uid="{00000000-0009-0000-0000-000001000000}">
    <filterColumn colId="0" showButton="0"/>
  </autoFilter>
  <sortState xmlns:xlrd2="http://schemas.microsoft.com/office/spreadsheetml/2017/richdata2" ref="D29:E48">
    <sortCondition ref="D29:D48"/>
  </sortState>
  <phoneticPr fontId="6" type="noConversion"/>
  <conditionalFormatting sqref="B2:B366">
    <cfRule type="cellIs" dxfId="0" priority="13" operator="equal">
      <formula>"Sun"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theme="5" tint="-0.249977111117893"/>
    <pageSetUpPr fitToPage="1"/>
  </sheetPr>
  <dimension ref="A1:C35"/>
  <sheetViews>
    <sheetView zoomScale="115" zoomScaleNormal="115" zoomScaleSheetLayoutView="84" workbookViewId="0">
      <selection activeCell="B21" sqref="B21"/>
    </sheetView>
  </sheetViews>
  <sheetFormatPr baseColWidth="10" defaultColWidth="8.85546875" defaultRowHeight="16"/>
  <cols>
    <col min="1" max="1" width="13.28515625" style="5" bestFit="1" customWidth="1"/>
    <col min="2" max="2" width="20.7109375" style="4" bestFit="1" customWidth="1"/>
    <col min="3" max="3" width="13.140625" style="5" bestFit="1" customWidth="1"/>
    <col min="4" max="16384" width="8.85546875" style="5"/>
  </cols>
  <sheetData>
    <row r="1" spans="1:2" s="6" customFormat="1">
      <c r="A1" s="10" t="s">
        <v>45</v>
      </c>
      <c r="B1" s="11" t="s">
        <v>46</v>
      </c>
    </row>
    <row r="2" spans="1:2" s="6" customFormat="1">
      <c r="A2" s="12" t="s">
        <v>49</v>
      </c>
      <c r="B2" s="13"/>
    </row>
    <row r="3" spans="1:2" s="6" customFormat="1">
      <c r="A3" s="12" t="s">
        <v>50</v>
      </c>
      <c r="B3" s="13"/>
    </row>
    <row r="4" spans="1:2" s="6" customFormat="1">
      <c r="A4" s="12" t="s">
        <v>51</v>
      </c>
      <c r="B4" s="13"/>
    </row>
    <row r="5" spans="1:2" s="6" customFormat="1">
      <c r="A5" s="29" t="s">
        <v>112</v>
      </c>
      <c r="B5" s="13"/>
    </row>
    <row r="6" spans="1:2" s="6" customFormat="1">
      <c r="A6" s="12" t="s">
        <v>31</v>
      </c>
      <c r="B6" s="13"/>
    </row>
    <row r="7" spans="1:2" s="6" customFormat="1">
      <c r="A7" s="12" t="s">
        <v>75</v>
      </c>
      <c r="B7" s="13"/>
    </row>
    <row r="8" spans="1:2">
      <c r="A8" s="12" t="s">
        <v>79</v>
      </c>
      <c r="B8" s="13"/>
    </row>
    <row r="9" spans="1:2">
      <c r="A9" s="5" t="s">
        <v>47</v>
      </c>
      <c r="B9" s="27" t="s">
        <v>94</v>
      </c>
    </row>
    <row r="10" spans="1:2">
      <c r="A10" s="5" t="s">
        <v>17</v>
      </c>
      <c r="B10" s="27" t="s">
        <v>95</v>
      </c>
    </row>
    <row r="11" spans="1:2">
      <c r="A11" s="5" t="s">
        <v>18</v>
      </c>
      <c r="B11" s="27" t="s">
        <v>96</v>
      </c>
    </row>
    <row r="12" spans="1:2">
      <c r="A12" s="5" t="s">
        <v>32</v>
      </c>
      <c r="B12" s="27" t="s">
        <v>95</v>
      </c>
    </row>
    <row r="13" spans="1:2">
      <c r="A13" s="5" t="s">
        <v>33</v>
      </c>
      <c r="B13" s="27" t="s">
        <v>97</v>
      </c>
    </row>
    <row r="14" spans="1:2">
      <c r="A14" s="5" t="s">
        <v>76</v>
      </c>
      <c r="B14" s="27" t="s">
        <v>98</v>
      </c>
    </row>
    <row r="15" spans="1:2">
      <c r="A15" s="5" t="s">
        <v>34</v>
      </c>
      <c r="B15" s="27" t="s">
        <v>99</v>
      </c>
    </row>
    <row r="16" spans="1:2">
      <c r="A16" s="5" t="s">
        <v>19</v>
      </c>
      <c r="B16" s="27" t="s">
        <v>100</v>
      </c>
    </row>
    <row r="17" spans="1:3">
      <c r="A17" s="5" t="s">
        <v>20</v>
      </c>
      <c r="B17" s="27" t="s">
        <v>101</v>
      </c>
    </row>
    <row r="18" spans="1:3">
      <c r="A18" s="5" t="s">
        <v>35</v>
      </c>
      <c r="B18" s="27" t="s">
        <v>102</v>
      </c>
    </row>
    <row r="19" spans="1:3">
      <c r="A19" s="5" t="s">
        <v>36</v>
      </c>
      <c r="B19" s="27" t="s">
        <v>103</v>
      </c>
    </row>
    <row r="20" spans="1:3">
      <c r="A20" s="5" t="s">
        <v>37</v>
      </c>
      <c r="B20" s="27" t="s">
        <v>104</v>
      </c>
    </row>
    <row r="21" spans="1:3">
      <c r="A21" s="5" t="s">
        <v>38</v>
      </c>
      <c r="B21" s="28" t="s">
        <v>111</v>
      </c>
      <c r="C21" s="28"/>
    </row>
    <row r="22" spans="1:3">
      <c r="A22" s="5" t="s">
        <v>39</v>
      </c>
      <c r="B22" s="27" t="s">
        <v>105</v>
      </c>
    </row>
    <row r="23" spans="1:3">
      <c r="A23" s="5" t="s">
        <v>40</v>
      </c>
      <c r="B23" s="27" t="s">
        <v>106</v>
      </c>
    </row>
    <row r="24" spans="1:3">
      <c r="A24" s="5" t="s">
        <v>41</v>
      </c>
      <c r="B24" s="27" t="s">
        <v>107</v>
      </c>
    </row>
    <row r="25" spans="1:3">
      <c r="A25" s="5" t="s">
        <v>42</v>
      </c>
      <c r="B25" s="27" t="s">
        <v>108</v>
      </c>
    </row>
    <row r="26" spans="1:3">
      <c r="A26" s="5" t="s">
        <v>43</v>
      </c>
      <c r="B26" s="27" t="s">
        <v>109</v>
      </c>
    </row>
    <row r="27" spans="1:3">
      <c r="A27" s="5" t="s">
        <v>44</v>
      </c>
      <c r="B27" s="27" t="s">
        <v>95</v>
      </c>
    </row>
    <row r="28" spans="1:3">
      <c r="A28" s="5" t="s">
        <v>48</v>
      </c>
      <c r="B28" s="27" t="s">
        <v>110</v>
      </c>
    </row>
    <row r="29" spans="1:3">
      <c r="A29" s="5" t="s">
        <v>81</v>
      </c>
      <c r="B29" s="27" t="s">
        <v>78</v>
      </c>
    </row>
    <row r="30" spans="1:3">
      <c r="A30" s="5" t="s">
        <v>80</v>
      </c>
      <c r="B30" s="27" t="s">
        <v>77</v>
      </c>
    </row>
    <row r="31" spans="1:3">
      <c r="A31" s="5" t="s">
        <v>82</v>
      </c>
      <c r="B31" s="27" t="s">
        <v>83</v>
      </c>
    </row>
    <row r="32" spans="1:3">
      <c r="A32" s="5" t="s">
        <v>84</v>
      </c>
      <c r="B32" s="27" t="s">
        <v>85</v>
      </c>
    </row>
    <row r="33" spans="1:2">
      <c r="A33" s="5" t="s">
        <v>88</v>
      </c>
      <c r="B33" s="27" t="s">
        <v>93</v>
      </c>
    </row>
    <row r="34" spans="1:2">
      <c r="A34" s="5" t="s">
        <v>89</v>
      </c>
      <c r="B34" s="4" t="s">
        <v>91</v>
      </c>
    </row>
    <row r="35" spans="1:2">
      <c r="A35" s="5" t="s">
        <v>90</v>
      </c>
      <c r="B35" s="27" t="s">
        <v>92</v>
      </c>
    </row>
  </sheetData>
  <autoFilter ref="A1:B1" xr:uid="{00000000-0009-0000-0000-000002000000}"/>
  <sortState xmlns:xlrd2="http://schemas.microsoft.com/office/spreadsheetml/2017/richdata2" ref="A28:B29">
    <sortCondition ref="A27"/>
  </sortState>
  <dataConsolidate/>
  <phoneticPr fontId="6" type="noConversion"/>
  <dataValidations count="1">
    <dataValidation type="list" allowBlank="1" showInputMessage="1" showErrorMessage="1" sqref="B22:B32 B1:B20 A1:A4 A6:A32" xr:uid="{00000000-0002-0000-0200-000000000000}">
      <formula1>$A$1:$B$1</formula1>
    </dataValidation>
  </dataValidations>
  <pageMargins left="0.25" right="0.25" top="0.75" bottom="0.75" header="0.3" footer="0.3"/>
  <pageSetup paperSize="8" scale="44" orientation="portrait" r:id="rId1"/>
  <headerFooter alignWithMargins="0">
    <oddHeader>&amp;L&amp;G</oddHeader>
    <oddFooter>&amp;L&amp;"標楷體,粗體"**資料更新日期: &amp;R&amp;"Times New Roman,標準"&amp;8 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2023 Time Sheet</vt:lpstr>
      <vt:lpstr>Quad-Tech</vt:lpstr>
      <vt:lpstr>OLD</vt:lpstr>
      <vt:lpstr>AL</vt:lpstr>
      <vt:lpstr>Month</vt:lpstr>
      <vt:lpstr>'2023 Time Sheet'!Print_Area</vt:lpstr>
      <vt:lpstr>工程編號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AET003</dc:creator>
  <cp:lastModifiedBy>Sze Chung</cp:lastModifiedBy>
  <cp:lastPrinted>2023-03-28T12:19:13Z</cp:lastPrinted>
  <dcterms:created xsi:type="dcterms:W3CDTF">2017-01-10T09:33:35Z</dcterms:created>
  <dcterms:modified xsi:type="dcterms:W3CDTF">2026-10-13T15:10:39Z</dcterms:modified>
</cp:coreProperties>
</file>