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QUAD-TECH/70 Admin &amp; HR/HR Document (Private &amp; Confidential)/Payroll/Project Team/To Fan Rui/"/>
    </mc:Choice>
  </mc:AlternateContent>
  <xr:revisionPtr revIDLastSave="0" documentId="8_{1295BC87-4D2E-4E4C-87A6-B7AB15D7E604}" xr6:coauthVersionLast="47" xr6:coauthVersionMax="47" xr10:uidLastSave="{00000000-0000-0000-0000-000000000000}"/>
  <bookViews>
    <workbookView xWindow="1900" yWindow="500" windowWidth="31700" windowHeight="16980" xr2:uid="{BFA51451-C907-B64E-9BEF-E7BADFEA4CE0}"/>
  </bookViews>
  <sheets>
    <sheet name="Aug 26" sheetId="20" r:id="rId1"/>
    <sheet name="Jul 26" sheetId="19" r:id="rId2"/>
    <sheet name="Jun 26" sheetId="18" r:id="rId3"/>
    <sheet name="May 26" sheetId="17" r:id="rId4"/>
    <sheet name="Apr 26" sheetId="15" r:id="rId5"/>
    <sheet name="Mar 26" sheetId="14" r:id="rId6"/>
    <sheet name="Feb 26" sheetId="13" r:id="rId7"/>
    <sheet name="Jan 26" sheetId="12" r:id="rId8"/>
  </sheets>
  <definedNames>
    <definedName name="_xlnm._FilterDatabase" localSheetId="4" hidden="1">'Apr 26'!$A$2:$N$42</definedName>
    <definedName name="_xlnm._FilterDatabase" localSheetId="0" hidden="1">'Aug 26'!$A$2:$N$44</definedName>
    <definedName name="_xlnm._FilterDatabase" localSheetId="6" hidden="1">'Feb 26'!$A$2:$N$37</definedName>
    <definedName name="_xlnm._FilterDatabase" localSheetId="7" hidden="1">'Jan 26'!$A$2:$N$32</definedName>
    <definedName name="_xlnm._FilterDatabase" localSheetId="1" hidden="1">'Jul 26'!$A$2:$N$42</definedName>
    <definedName name="_xlnm._FilterDatabase" localSheetId="2" hidden="1">'Jun 26'!$A$2:$N$42</definedName>
    <definedName name="_xlnm._FilterDatabase" localSheetId="5" hidden="1">'Mar 26'!$A$2:$N$40</definedName>
    <definedName name="_xlnm._FilterDatabase" localSheetId="3" hidden="1">'May 26'!$A$2:$N$42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0" l="1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3" i="20"/>
  <c r="C44" i="20"/>
  <c r="D44" i="20"/>
  <c r="E44" i="20"/>
  <c r="F44" i="20"/>
  <c r="G44" i="20"/>
  <c r="H44" i="20"/>
  <c r="I44" i="20"/>
  <c r="J44" i="20"/>
  <c r="K44" i="20"/>
  <c r="L44" i="20"/>
  <c r="M44" i="20"/>
  <c r="B44" i="20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3" i="19"/>
  <c r="C42" i="19"/>
  <c r="D42" i="19"/>
  <c r="E42" i="19"/>
  <c r="F42" i="19"/>
  <c r="G42" i="19"/>
  <c r="H42" i="19"/>
  <c r="I42" i="19"/>
  <c r="J42" i="19"/>
  <c r="K42" i="19"/>
  <c r="L42" i="19"/>
  <c r="M42" i="19"/>
  <c r="N42" i="19"/>
  <c r="B42" i="19"/>
  <c r="C42" i="18"/>
  <c r="D42" i="18"/>
  <c r="E42" i="18"/>
  <c r="F42" i="18"/>
  <c r="G42" i="18"/>
  <c r="H42" i="18"/>
  <c r="I42" i="18"/>
  <c r="J42" i="18"/>
  <c r="K42" i="18"/>
  <c r="L42" i="18"/>
  <c r="M42" i="18"/>
  <c r="B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3" i="18"/>
  <c r="C42" i="17"/>
  <c r="D42" i="17"/>
  <c r="E42" i="17"/>
  <c r="F42" i="17"/>
  <c r="G42" i="17"/>
  <c r="H42" i="17"/>
  <c r="I42" i="17"/>
  <c r="J42" i="17"/>
  <c r="K42" i="17"/>
  <c r="L42" i="17"/>
  <c r="M42" i="17"/>
  <c r="B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4" i="14"/>
  <c r="N3" i="14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3" i="15"/>
  <c r="L42" i="15"/>
  <c r="K42" i="15"/>
  <c r="J42" i="15"/>
  <c r="I42" i="15"/>
  <c r="H42" i="15"/>
  <c r="G42" i="15"/>
  <c r="F42" i="15"/>
  <c r="E42" i="15"/>
  <c r="D42" i="15"/>
  <c r="C42" i="15"/>
  <c r="B42" i="15"/>
  <c r="C40" i="14"/>
  <c r="D40" i="14"/>
  <c r="E40" i="14"/>
  <c r="F40" i="14"/>
  <c r="G40" i="14"/>
  <c r="H40" i="14"/>
  <c r="I40" i="14"/>
  <c r="J40" i="14"/>
  <c r="K40" i="14"/>
  <c r="L40" i="14"/>
  <c r="M40" i="14"/>
  <c r="B40" i="14"/>
  <c r="L38" i="13"/>
  <c r="K38" i="13"/>
  <c r="J38" i="13"/>
  <c r="I38" i="13"/>
  <c r="H38" i="13"/>
  <c r="G38" i="13"/>
  <c r="F38" i="13"/>
  <c r="E38" i="13"/>
  <c r="D38" i="13"/>
  <c r="C38" i="13"/>
  <c r="B38" i="13"/>
  <c r="L33" i="12"/>
  <c r="K33" i="12"/>
  <c r="J33" i="12"/>
  <c r="I33" i="12"/>
  <c r="H33" i="12"/>
  <c r="G33" i="12"/>
  <c r="F33" i="12"/>
  <c r="E33" i="12"/>
  <c r="D33" i="12"/>
  <c r="C33" i="12"/>
  <c r="B33" i="12"/>
  <c r="M38" i="13"/>
  <c r="N42" i="18" l="1"/>
  <c r="N42" i="17"/>
  <c r="N33" i="12"/>
  <c r="N38" i="13"/>
  <c r="N40" i="14"/>
  <c r="N42" i="15"/>
  <c r="M42" i="15"/>
  <c r="M33" i="12"/>
  <c r="N44" i="20" l="1"/>
</calcChain>
</file>

<file path=xl/sharedStrings.xml><?xml version="1.0" encoding="utf-8"?>
<sst xmlns="http://schemas.openxmlformats.org/spreadsheetml/2006/main" count="411" uniqueCount="65">
  <si>
    <t>Finance</t>
  </si>
  <si>
    <t>Management &amp; Admin</t>
  </si>
  <si>
    <t>Tsat Sing Kong</t>
  </si>
  <si>
    <t>Kai Tak 1B2</t>
  </si>
  <si>
    <t>Kai Tak 1B3</t>
  </si>
  <si>
    <t>GDS - KC2</t>
  </si>
  <si>
    <t>GDS - HK1</t>
  </si>
  <si>
    <t>Special School</t>
  </si>
  <si>
    <t>Wu Shan Road</t>
  </si>
  <si>
    <t>Ying Yip Road</t>
  </si>
  <si>
    <t>Wang Yip West</t>
  </si>
  <si>
    <t>1735EM22W</t>
  </si>
  <si>
    <t>TST Pumping Station</t>
  </si>
  <si>
    <t>EID IWTS Office</t>
  </si>
  <si>
    <t>West Kowloon</t>
  </si>
  <si>
    <t>Kwu Tung North</t>
  </si>
  <si>
    <t>Mui Wo Phase 2</t>
  </si>
  <si>
    <t>1154EM23T</t>
  </si>
  <si>
    <t>IWMF Phase 1</t>
  </si>
  <si>
    <t>Tender</t>
  </si>
  <si>
    <t>Total</t>
    <phoneticPr fontId="2" type="noConversion"/>
  </si>
  <si>
    <t>New Town mall</t>
  </si>
  <si>
    <t>Commerical</t>
  </si>
  <si>
    <t>觀塘海濱</t>
  </si>
  <si>
    <t>長沙灣泵房</t>
  </si>
  <si>
    <t>Project Name</t>
    <phoneticPr fontId="2" type="noConversion"/>
  </si>
  <si>
    <t>Kai Tak DCS</t>
  </si>
  <si>
    <t>承啟道公園</t>
  </si>
  <si>
    <t>九龍公園</t>
  </si>
  <si>
    <t>SC1237</t>
  </si>
  <si>
    <t>SC1227</t>
  </si>
  <si>
    <t>石硤尾雨水排放系統</t>
  </si>
  <si>
    <t>Commercial Dept.</t>
  </si>
  <si>
    <t>Financial Dept.</t>
  </si>
  <si>
    <t>HSE Dept.</t>
  </si>
  <si>
    <t>Marketing Development Dept .</t>
  </si>
  <si>
    <t>Data Centre
MEP Team</t>
    <phoneticPr fontId="2" type="noConversion"/>
  </si>
  <si>
    <t>Housing
MEP Team</t>
    <phoneticPr fontId="2" type="noConversion"/>
  </si>
  <si>
    <t>MTR
MEP Team</t>
    <phoneticPr fontId="2" type="noConversion"/>
  </si>
  <si>
    <t>SS N517</t>
  </si>
  <si>
    <t>To Kwa Wan</t>
  </si>
  <si>
    <t>Lai Chi Kok Road</t>
  </si>
  <si>
    <t>礎基 EMSD Project</t>
  </si>
  <si>
    <t>2090EM25M</t>
  </si>
  <si>
    <t>General Building Services Team</t>
  </si>
  <si>
    <t>QTEC-ALCC JV</t>
  </si>
  <si>
    <t>Water, Drainage &amp; Infrastructure MEP Team</t>
  </si>
  <si>
    <t>古洞小學</t>
  </si>
  <si>
    <t>石硤尾公園</t>
  </si>
  <si>
    <t>馬鞍山村公廁</t>
  </si>
  <si>
    <t>Kwai On</t>
  </si>
  <si>
    <t>Pat Heung</t>
  </si>
  <si>
    <t>列標籤</t>
  </si>
  <si>
    <t>Data Centre MEP Team</t>
  </si>
  <si>
    <t>Housing MEP Team</t>
  </si>
  <si>
    <t>MTR MEP Team</t>
  </si>
  <si>
    <t>Water, Drainage &amp; Infrastructure MEP Team (Environmental)</t>
  </si>
  <si>
    <t>Water, Drainage &amp; Infrastructure MEP Team (Environmental)</t>
    <phoneticPr fontId="2" type="noConversion"/>
  </si>
  <si>
    <t>Data Centre MEP Team</t>
    <phoneticPr fontId="2" type="noConversion"/>
  </si>
  <si>
    <t>Housing MEP Team</t>
    <phoneticPr fontId="2" type="noConversion"/>
  </si>
  <si>
    <t>MTR MEP Team</t>
    <phoneticPr fontId="2" type="noConversion"/>
  </si>
  <si>
    <t>Water, Drainage &amp; Infrastructure MEP Team (Env)</t>
  </si>
  <si>
    <t>Water, Drainage &amp; Infrastructure MEP Team (Env)</t>
    <phoneticPr fontId="2" type="noConversion"/>
  </si>
  <si>
    <t>聯興 EMSD Project</t>
  </si>
  <si>
    <t>City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</si>
</sst>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mmmm\ yyyy;@"/>
  </numFmts>
  <fonts count="6">
    <font>
      <sz val="12"/>
      <color theme="1"/>
      <name val="ArialMT"/>
      <family val="2"/>
      <charset val="136"/>
    </font>
    <font>
      <sz val="16"/>
      <color theme="1"/>
      <name val="Arial Narrow"/>
      <family val="2"/>
    </font>
    <font>
      <sz val="9"/>
      <name val="ArialMT"/>
      <family val="2"/>
      <charset val="136"/>
    </font>
    <font>
      <b/>
      <sz val="16"/>
      <color theme="1"/>
      <name val="Arial Narrow"/>
      <family val="2"/>
    </font>
    <font>
      <b/>
      <sz val="16"/>
      <color rgb="FF00B0F0"/>
      <name val="Arial Narrow"/>
      <family val="2"/>
    </font>
    <font>
      <sz val="12"/>
      <color theme="1"/>
      <name val="ArialM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3" fontId="1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43" fontId="1" fillId="0" borderId="1" xfId="0" applyNumberFormat="1" applyFont="1" applyBorder="1" applyAlignment="1">
      <alignment horizontal="center" vertical="center"/>
    </xf>
    <xf numFmtId="43" fontId="0" fillId="0" borderId="0" xfId="1" applyFo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colors>
    <mruColors>
      <color rgb="FF009051"/>
      <color rgb="FFFF9300"/>
      <color rgb="FF0432FF"/>
      <color rgb="FFFF85FF"/>
      <color rgb="FFFF40FF"/>
      <color rgb="FFFFFC00"/>
      <color rgb="FF73FDD6"/>
      <color rgb="FF00FA00"/>
      <color rgb="FF9437FF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9A97-6CB4-AC4F-8A37-A0B41FC1F014}">
  <sheetPr filterMode="1">
    <tabColor rgb="FF009051"/>
  </sheetPr>
  <dimension ref="A1:N45"/>
  <sheetViews>
    <sheetView tabSelected="1" zoomScale="90" zoomScaleNormal="90" workbookViewId="0"/>
  </sheetViews>
  <sheetFormatPr baseColWidth="10" defaultRowHeight="16"/>
  <cols>
    <col min="1" max="1" width="24.7109375" customWidth="1"/>
    <col min="2" max="14" width="16.7109375" customWidth="1"/>
  </cols>
  <sheetData>
    <row r="1" spans="1:14" ht="37" customHeight="1">
      <c r="A1" s="4">
        <v>46235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4" ht="84" customHeight="1">
      <c r="A2" s="7" t="s">
        <v>52</v>
      </c>
      <c r="B2" s="5" t="s">
        <v>32</v>
      </c>
      <c r="C2" s="5" t="s">
        <v>53</v>
      </c>
      <c r="D2" s="5" t="s">
        <v>33</v>
      </c>
      <c r="E2" s="5" t="s">
        <v>44</v>
      </c>
      <c r="F2" s="5" t="s">
        <v>54</v>
      </c>
      <c r="G2" s="5" t="s">
        <v>34</v>
      </c>
      <c r="H2" s="5" t="s">
        <v>1</v>
      </c>
      <c r="I2" s="5" t="s">
        <v>35</v>
      </c>
      <c r="J2" s="5" t="s">
        <v>55</v>
      </c>
      <c r="K2" s="5" t="s">
        <v>45</v>
      </c>
      <c r="L2" s="5" t="s">
        <v>46</v>
      </c>
      <c r="M2" s="5" t="s">
        <v>61</v>
      </c>
      <c r="N2" s="5" t="s">
        <v>20</v>
      </c>
    </row>
    <row r="3" spans="1:14" ht="23" customHeight="1">
      <c r="A3" s="8" t="s">
        <v>63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2803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">
        <f>SUM(B3:M3)</f>
        <v>2803</v>
      </c>
    </row>
    <row r="4" spans="1:14" ht="23" hidden="1" customHeight="1">
      <c r="A4" s="8" t="s">
        <v>42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2">
        <f t="shared" ref="N4:N43" si="0">SUM(B4:M4)</f>
        <v>0</v>
      </c>
    </row>
    <row r="5" spans="1:14" ht="23" customHeight="1">
      <c r="A5" s="8" t="s">
        <v>64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294684.50124735729</v>
      </c>
      <c r="J5" s="1">
        <v>0</v>
      </c>
      <c r="K5" s="1">
        <v>0</v>
      </c>
      <c r="L5" s="1">
        <v>0</v>
      </c>
      <c r="M5" s="1">
        <v>0</v>
      </c>
      <c r="N5" s="2">
        <f t="shared" si="0"/>
        <v>294684.50124735729</v>
      </c>
    </row>
    <row r="6" spans="1:14" ht="23" customHeight="1">
      <c r="A6" s="8" t="s">
        <v>50</v>
      </c>
      <c r="B6" s="1">
        <v>0</v>
      </c>
      <c r="C6" s="1">
        <v>0</v>
      </c>
      <c r="D6" s="1">
        <v>0</v>
      </c>
      <c r="E6" s="1">
        <v>23088.288181818185</v>
      </c>
      <c r="F6" s="1">
        <v>157364.13840354767</v>
      </c>
      <c r="G6" s="1">
        <v>25258.06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205710.48658536584</v>
      </c>
    </row>
    <row r="7" spans="1:14" ht="23" hidden="1" customHeight="1">
      <c r="A7" s="8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f t="shared" si="0"/>
        <v>0</v>
      </c>
    </row>
    <row r="8" spans="1:14" ht="23" customHeight="1">
      <c r="A8" s="8" t="s">
        <v>41</v>
      </c>
      <c r="B8" s="1">
        <v>0</v>
      </c>
      <c r="C8" s="1">
        <v>0</v>
      </c>
      <c r="D8" s="1">
        <v>0</v>
      </c>
      <c r="E8" s="1">
        <v>2673</v>
      </c>
      <c r="F8" s="1">
        <v>72139.122198289508</v>
      </c>
      <c r="G8" s="1">
        <v>8701.7142857142862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83513.836484003798</v>
      </c>
    </row>
    <row r="9" spans="1:14" ht="23" customHeight="1">
      <c r="A9" s="8" t="s">
        <v>40</v>
      </c>
      <c r="B9" s="1">
        <v>0</v>
      </c>
      <c r="C9" s="1">
        <v>0</v>
      </c>
      <c r="D9" s="1">
        <v>0</v>
      </c>
      <c r="E9" s="1">
        <v>3961.636363636364</v>
      </c>
      <c r="F9" s="1">
        <v>143535.88270826734</v>
      </c>
      <c r="G9" s="1">
        <v>7137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2">
        <f t="shared" si="0"/>
        <v>154634.51907190369</v>
      </c>
    </row>
    <row r="10" spans="1:14" ht="23" customHeight="1">
      <c r="A10" s="8" t="s">
        <v>47</v>
      </c>
      <c r="B10" s="1">
        <v>0</v>
      </c>
      <c r="C10" s="1">
        <v>0</v>
      </c>
      <c r="D10" s="1">
        <v>0</v>
      </c>
      <c r="E10" s="1">
        <v>188437.20181818181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188437.20181818181</v>
      </c>
    </row>
    <row r="11" spans="1:14" ht="23" customHeight="1">
      <c r="A11" s="8" t="s">
        <v>27</v>
      </c>
      <c r="B11" s="1">
        <v>0</v>
      </c>
      <c r="C11" s="1">
        <v>0</v>
      </c>
      <c r="D11" s="1">
        <v>0</v>
      </c>
      <c r="E11" s="1">
        <v>2673</v>
      </c>
      <c r="F11" s="1">
        <v>0</v>
      </c>
      <c r="G11" s="1">
        <v>1401.5</v>
      </c>
      <c r="H11" s="1">
        <v>0</v>
      </c>
      <c r="I11" s="1">
        <v>0</v>
      </c>
      <c r="J11" s="1">
        <v>0</v>
      </c>
      <c r="K11" s="1">
        <v>0</v>
      </c>
      <c r="L11" s="1">
        <v>1728.4325581395349</v>
      </c>
      <c r="M11" s="1">
        <v>0</v>
      </c>
      <c r="N11" s="2">
        <f t="shared" si="0"/>
        <v>5802.9325581395351</v>
      </c>
    </row>
    <row r="12" spans="1:14" ht="23" customHeight="1">
      <c r="A12" s="8" t="s">
        <v>28</v>
      </c>
      <c r="B12" s="1">
        <v>0</v>
      </c>
      <c r="C12" s="1">
        <v>0</v>
      </c>
      <c r="D12" s="1">
        <v>0</v>
      </c>
      <c r="E12" s="1">
        <v>5346</v>
      </c>
      <c r="F12" s="1">
        <v>0</v>
      </c>
      <c r="G12" s="1">
        <v>0</v>
      </c>
      <c r="H12" s="1">
        <v>0</v>
      </c>
      <c r="I12" s="1">
        <v>93300</v>
      </c>
      <c r="J12" s="1">
        <v>0</v>
      </c>
      <c r="K12" s="1">
        <v>0</v>
      </c>
      <c r="L12" s="1">
        <v>0</v>
      </c>
      <c r="M12" s="1">
        <v>0</v>
      </c>
      <c r="N12" s="2">
        <f t="shared" si="0"/>
        <v>98646</v>
      </c>
    </row>
    <row r="13" spans="1:14" ht="23" customHeight="1">
      <c r="A13" s="8" t="s">
        <v>29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3409.3745208845212</v>
      </c>
      <c r="M13" s="1">
        <v>0</v>
      </c>
      <c r="N13" s="2">
        <f t="shared" si="0"/>
        <v>3409.3745208845212</v>
      </c>
    </row>
    <row r="14" spans="1:14" ht="23" customHeight="1">
      <c r="A14" s="8" t="s">
        <v>30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471.11454545454546</v>
      </c>
      <c r="M14" s="1">
        <v>0</v>
      </c>
      <c r="N14" s="2">
        <f t="shared" si="0"/>
        <v>471.11454545454546</v>
      </c>
    </row>
    <row r="15" spans="1:14" ht="23" hidden="1" customHeight="1">
      <c r="A15" s="8" t="s">
        <v>48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2">
        <f t="shared" si="0"/>
        <v>0</v>
      </c>
    </row>
    <row r="16" spans="1:14" ht="23" hidden="1" customHeight="1">
      <c r="A16" s="8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>
        <f t="shared" si="0"/>
        <v>0</v>
      </c>
    </row>
    <row r="17" spans="1:14" ht="23" customHeight="1">
      <c r="A17" s="8" t="s">
        <v>31</v>
      </c>
      <c r="B17" s="1">
        <v>0</v>
      </c>
      <c r="C17" s="1">
        <v>0</v>
      </c>
      <c r="D17" s="1">
        <v>0</v>
      </c>
      <c r="E17" s="1">
        <v>8019</v>
      </c>
      <c r="F17" s="1">
        <v>0</v>
      </c>
      <c r="G17" s="1">
        <v>23084.081081081084</v>
      </c>
      <c r="H17" s="1">
        <v>0</v>
      </c>
      <c r="I17" s="1">
        <v>0</v>
      </c>
      <c r="J17" s="1">
        <v>0</v>
      </c>
      <c r="K17" s="1">
        <v>0</v>
      </c>
      <c r="L17" s="1">
        <v>228622.03597944969</v>
      </c>
      <c r="M17" s="1">
        <v>133529.82237950794</v>
      </c>
      <c r="N17" s="2">
        <f t="shared" si="0"/>
        <v>393254.93944003875</v>
      </c>
    </row>
    <row r="18" spans="1:14" ht="23" customHeight="1">
      <c r="A18" s="8" t="s">
        <v>26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942.22909090909093</v>
      </c>
      <c r="M18" s="1">
        <v>0</v>
      </c>
      <c r="N18" s="2">
        <f t="shared" si="0"/>
        <v>942.22909090909093</v>
      </c>
    </row>
    <row r="19" spans="1:14" ht="23" hidden="1" customHeight="1">
      <c r="A19" s="8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2">
        <f t="shared" si="0"/>
        <v>0</v>
      </c>
    </row>
    <row r="20" spans="1:14" ht="23" hidden="1" customHeight="1">
      <c r="A20" s="8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 t="shared" si="0"/>
        <v>0</v>
      </c>
    </row>
    <row r="21" spans="1:14" ht="23" customHeight="1">
      <c r="A21" s="8" t="s">
        <v>16</v>
      </c>
      <c r="B21" s="1">
        <v>0</v>
      </c>
      <c r="C21" s="1">
        <v>0</v>
      </c>
      <c r="D21" s="1">
        <v>0</v>
      </c>
      <c r="E21" s="1">
        <v>8019</v>
      </c>
      <c r="F21" s="1">
        <v>0</v>
      </c>
      <c r="G21" s="1">
        <v>35041.891891891893</v>
      </c>
      <c r="H21" s="1">
        <v>0</v>
      </c>
      <c r="I21" s="1">
        <v>0</v>
      </c>
      <c r="J21" s="1">
        <v>0</v>
      </c>
      <c r="K21" s="1">
        <v>0</v>
      </c>
      <c r="L21" s="1">
        <v>257051.79029233006</v>
      </c>
      <c r="M21" s="1">
        <v>0</v>
      </c>
      <c r="N21" s="2">
        <f t="shared" si="0"/>
        <v>300112.68218422192</v>
      </c>
    </row>
    <row r="22" spans="1:14" ht="23" hidden="1" customHeight="1">
      <c r="A22" s="8" t="s">
        <v>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 t="shared" si="0"/>
        <v>0</v>
      </c>
    </row>
    <row r="23" spans="1:14" ht="23" customHeight="1">
      <c r="A23" s="8" t="s">
        <v>12</v>
      </c>
      <c r="B23" s="1">
        <v>0</v>
      </c>
      <c r="C23" s="1">
        <v>0</v>
      </c>
      <c r="D23" s="1">
        <v>0</v>
      </c>
      <c r="E23" s="1">
        <v>8019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80964.314490393328</v>
      </c>
      <c r="M23" s="1">
        <v>161959.01848402605</v>
      </c>
      <c r="N23" s="2">
        <f t="shared" si="0"/>
        <v>250942.33297441938</v>
      </c>
    </row>
    <row r="24" spans="1:14" ht="23" customHeight="1">
      <c r="A24" s="8" t="s">
        <v>8</v>
      </c>
      <c r="B24" s="1">
        <v>0</v>
      </c>
      <c r="C24" s="1">
        <v>0</v>
      </c>
      <c r="D24" s="1">
        <v>0</v>
      </c>
      <c r="E24" s="1">
        <v>15106.5</v>
      </c>
      <c r="F24" s="1">
        <v>413607.67522648082</v>
      </c>
      <c r="G24" s="1">
        <v>35597.891891891893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464312.06711837271</v>
      </c>
    </row>
    <row r="25" spans="1:14" ht="23" customHeight="1">
      <c r="A25" s="8" t="s">
        <v>14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66373.068384264319</v>
      </c>
      <c r="M25" s="1">
        <v>0</v>
      </c>
      <c r="N25" s="2">
        <f t="shared" si="0"/>
        <v>66373.068384264319</v>
      </c>
    </row>
    <row r="26" spans="1:14" ht="23" customHeight="1">
      <c r="A26" s="8" t="s">
        <v>15</v>
      </c>
      <c r="B26" s="1">
        <v>0</v>
      </c>
      <c r="C26" s="1">
        <v>0</v>
      </c>
      <c r="D26" s="1">
        <v>0</v>
      </c>
      <c r="E26" s="1">
        <v>354711.29670995666</v>
      </c>
      <c r="F26" s="1">
        <v>0</v>
      </c>
      <c r="G26" s="1">
        <v>67788.135135135133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2">
        <f t="shared" si="0"/>
        <v>422499.43184509181</v>
      </c>
    </row>
    <row r="27" spans="1:14" ht="23" customHeight="1">
      <c r="A27" s="8" t="s">
        <v>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24355.404216073784</v>
      </c>
      <c r="M27" s="1">
        <v>0</v>
      </c>
      <c r="N27" s="2">
        <f t="shared" si="0"/>
        <v>24355.404216073784</v>
      </c>
    </row>
    <row r="28" spans="1:14" ht="23" hidden="1" customHeight="1">
      <c r="A28" s="8" t="s">
        <v>51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2">
        <f t="shared" si="0"/>
        <v>0</v>
      </c>
    </row>
    <row r="29" spans="1:14" ht="23" customHeight="1">
      <c r="A29" s="8" t="s">
        <v>7</v>
      </c>
      <c r="B29" s="1">
        <v>0</v>
      </c>
      <c r="C29" s="1">
        <v>0</v>
      </c>
      <c r="D29" s="1">
        <v>0</v>
      </c>
      <c r="E29" s="1">
        <v>287808.68311688316</v>
      </c>
      <c r="F29" s="1">
        <v>0</v>
      </c>
      <c r="G29" s="1">
        <v>44118</v>
      </c>
      <c r="H29" s="1">
        <v>0</v>
      </c>
      <c r="I29" s="1">
        <v>5793.3636363636369</v>
      </c>
      <c r="J29" s="1">
        <v>0</v>
      </c>
      <c r="K29" s="1">
        <v>0</v>
      </c>
      <c r="L29" s="1">
        <v>0</v>
      </c>
      <c r="M29" s="1">
        <v>0</v>
      </c>
      <c r="N29" s="2">
        <f t="shared" si="0"/>
        <v>337720.0467532468</v>
      </c>
    </row>
    <row r="30" spans="1:14" ht="23" hidden="1" customHeight="1">
      <c r="A30" s="8" t="s">
        <v>21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0</v>
      </c>
    </row>
    <row r="31" spans="1:14" ht="23" customHeight="1">
      <c r="A31" s="8" t="s">
        <v>5</v>
      </c>
      <c r="B31" s="1">
        <v>0</v>
      </c>
      <c r="C31" s="1">
        <v>665876.63000000012</v>
      </c>
      <c r="D31" s="1">
        <v>0</v>
      </c>
      <c r="E31" s="1">
        <v>5346</v>
      </c>
      <c r="F31" s="1">
        <v>0</v>
      </c>
      <c r="G31" s="1">
        <v>79537.78571428571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2">
        <f t="shared" si="0"/>
        <v>750760.4157142858</v>
      </c>
    </row>
    <row r="32" spans="1:14" ht="23" hidden="1" customHeight="1">
      <c r="A32" s="8" t="s">
        <v>4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0"/>
        <v>0</v>
      </c>
    </row>
    <row r="33" spans="1:14" ht="23" customHeight="1">
      <c r="A33" s="8" t="s">
        <v>18</v>
      </c>
      <c r="B33" s="1">
        <v>0</v>
      </c>
      <c r="C33" s="1">
        <v>0</v>
      </c>
      <c r="D33" s="1">
        <v>12319.5</v>
      </c>
      <c r="E33" s="1">
        <v>5346</v>
      </c>
      <c r="F33" s="1">
        <v>0</v>
      </c>
      <c r="G33" s="1">
        <v>0</v>
      </c>
      <c r="H33" s="1">
        <v>0</v>
      </c>
      <c r="I33" s="1">
        <v>32917.765116279072</v>
      </c>
      <c r="J33" s="1">
        <v>55109.454545454551</v>
      </c>
      <c r="K33" s="1">
        <v>430032.01</v>
      </c>
      <c r="L33" s="1">
        <v>0</v>
      </c>
      <c r="M33" s="1">
        <v>0</v>
      </c>
      <c r="N33" s="2">
        <f t="shared" si="0"/>
        <v>535724.72966173361</v>
      </c>
    </row>
    <row r="34" spans="1:14" ht="23" customHeight="1">
      <c r="A34" s="8" t="s">
        <v>2</v>
      </c>
      <c r="B34" s="1">
        <v>0</v>
      </c>
      <c r="C34" s="1">
        <v>0</v>
      </c>
      <c r="D34" s="1">
        <v>0</v>
      </c>
      <c r="E34" s="1">
        <v>2850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2">
        <f t="shared" si="0"/>
        <v>2850</v>
      </c>
    </row>
    <row r="35" spans="1:14" ht="23" hidden="1" customHeight="1">
      <c r="A35" s="8" t="s">
        <v>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2">
        <f t="shared" si="0"/>
        <v>0</v>
      </c>
    </row>
    <row r="36" spans="1:14" ht="23" customHeight="1">
      <c r="A36" s="8" t="s">
        <v>9</v>
      </c>
      <c r="B36" s="1">
        <v>0</v>
      </c>
      <c r="C36" s="1">
        <v>0</v>
      </c>
      <c r="D36" s="1">
        <v>0</v>
      </c>
      <c r="E36" s="1">
        <v>2673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2">
        <f t="shared" si="0"/>
        <v>2673</v>
      </c>
    </row>
    <row r="37" spans="1:14" ht="23" hidden="1" customHeight="1">
      <c r="A37" s="8" t="s">
        <v>10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2">
        <f t="shared" si="0"/>
        <v>0</v>
      </c>
    </row>
    <row r="38" spans="1:14" ht="23" customHeight="1">
      <c r="A38" s="8" t="s">
        <v>17</v>
      </c>
      <c r="B38" s="1">
        <v>0</v>
      </c>
      <c r="C38" s="1">
        <v>0</v>
      </c>
      <c r="D38" s="1">
        <v>0</v>
      </c>
      <c r="E38" s="1">
        <v>2673</v>
      </c>
      <c r="F38" s="1">
        <v>0</v>
      </c>
      <c r="G38" s="1">
        <v>2803</v>
      </c>
      <c r="H38" s="1">
        <v>0</v>
      </c>
      <c r="I38" s="1">
        <v>0</v>
      </c>
      <c r="J38" s="1">
        <v>0</v>
      </c>
      <c r="K38" s="1">
        <v>0</v>
      </c>
      <c r="L38" s="1">
        <v>22312.790697674416</v>
      </c>
      <c r="M38" s="1">
        <v>0</v>
      </c>
      <c r="N38" s="2">
        <f t="shared" si="0"/>
        <v>27788.790697674416</v>
      </c>
    </row>
    <row r="39" spans="1:14" ht="23" hidden="1" customHeight="1">
      <c r="A39" s="8" t="s">
        <v>11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2">
        <f t="shared" si="0"/>
        <v>0</v>
      </c>
    </row>
    <row r="40" spans="1:14" ht="23" customHeight="1">
      <c r="A40" s="8" t="s">
        <v>19</v>
      </c>
      <c r="B40" s="1">
        <v>0</v>
      </c>
      <c r="C40" s="1">
        <v>0</v>
      </c>
      <c r="D40" s="1">
        <v>0</v>
      </c>
      <c r="E40" s="1">
        <v>50913.523809523809</v>
      </c>
      <c r="F40" s="1">
        <v>48546.341463414632</v>
      </c>
      <c r="G40" s="1">
        <v>0</v>
      </c>
      <c r="H40" s="1">
        <v>0</v>
      </c>
      <c r="I40" s="1">
        <v>39246.78</v>
      </c>
      <c r="J40" s="1">
        <v>51846.545454545456</v>
      </c>
      <c r="K40" s="1">
        <v>0</v>
      </c>
      <c r="L40" s="1">
        <v>114630.80522442669</v>
      </c>
      <c r="M40" s="1">
        <v>34586.159136466034</v>
      </c>
      <c r="N40" s="2">
        <f t="shared" si="0"/>
        <v>339770.1550883766</v>
      </c>
    </row>
    <row r="41" spans="1:14" ht="23" customHeight="1">
      <c r="A41" s="8" t="s">
        <v>0</v>
      </c>
      <c r="B41" s="1">
        <v>0</v>
      </c>
      <c r="C41" s="1">
        <v>0</v>
      </c>
      <c r="D41" s="1">
        <v>115245.99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2">
        <f t="shared" si="0"/>
        <v>115245.99</v>
      </c>
    </row>
    <row r="42" spans="1:14" ht="23" customHeight="1">
      <c r="A42" s="8" t="s">
        <v>22</v>
      </c>
      <c r="B42" s="1">
        <v>66158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2">
        <f t="shared" si="0"/>
        <v>66158</v>
      </c>
    </row>
    <row r="43" spans="1:14" ht="23" customHeight="1">
      <c r="A43" s="8" t="s">
        <v>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421451.44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2">
        <f t="shared" si="0"/>
        <v>421451.44</v>
      </c>
    </row>
    <row r="44" spans="1:14" ht="23" customHeight="1" thickBot="1">
      <c r="B44" s="3">
        <f>SUM(B3:B43)</f>
        <v>66158</v>
      </c>
      <c r="C44" s="3">
        <f t="shared" ref="C44:N44" si="1">SUM(C3:C43)</f>
        <v>665876.63000000012</v>
      </c>
      <c r="D44" s="3">
        <f t="shared" si="1"/>
        <v>127565.49</v>
      </c>
      <c r="E44" s="3">
        <f t="shared" si="1"/>
        <v>977664.13</v>
      </c>
      <c r="F44" s="3">
        <f t="shared" si="1"/>
        <v>835193.15999999992</v>
      </c>
      <c r="G44" s="3">
        <f t="shared" si="1"/>
        <v>333272.06000000006</v>
      </c>
      <c r="H44" s="3">
        <f t="shared" si="1"/>
        <v>421451.44</v>
      </c>
      <c r="I44" s="3">
        <f t="shared" si="1"/>
        <v>465942.41000000003</v>
      </c>
      <c r="J44" s="3">
        <f t="shared" si="1"/>
        <v>106956</v>
      </c>
      <c r="K44" s="3">
        <f t="shared" si="1"/>
        <v>430032.01</v>
      </c>
      <c r="L44" s="3">
        <f t="shared" si="1"/>
        <v>800861.36</v>
      </c>
      <c r="M44" s="3">
        <f t="shared" si="1"/>
        <v>330075.00000000006</v>
      </c>
      <c r="N44" s="3">
        <f t="shared" si="1"/>
        <v>5561047.6899999995</v>
      </c>
    </row>
    <row r="45" spans="1:14" ht="17" thickTop="1"/>
  </sheetData>
  <autoFilter ref="A2:N44" xr:uid="{A8289A97-6CB4-AC4F-8A37-A0B41FC1F014}">
    <filterColumn colId="13">
      <filters>
        <filter val="115,245.99"/>
        <filter val="154,634.52"/>
        <filter val="188,437.20"/>
        <filter val="2,673.00"/>
        <filter val="2,803.00"/>
        <filter val="2,850.00"/>
        <filter val="205,710.49"/>
        <filter val="24,355.40"/>
        <filter val="250,942.33"/>
        <filter val="27,788.79"/>
        <filter val="294,684.50"/>
        <filter val="3,409.37"/>
        <filter val="300,112.68"/>
        <filter val="337,720.05"/>
        <filter val="339,770.16"/>
        <filter val="393,254.94"/>
        <filter val="421,451.44"/>
        <filter val="422,499.43"/>
        <filter val="464,312.07"/>
        <filter val="471.11"/>
        <filter val="5,561,047.69"/>
        <filter val="5,802.93"/>
        <filter val="535,724.73"/>
        <filter val="66,158.00"/>
        <filter val="66,373.07"/>
        <filter val="750,760.42"/>
        <filter val="83,513.84"/>
        <filter val="942.23"/>
        <filter val="98,646.00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5B7B-78BF-5845-8290-5273362ED458}">
  <sheetPr filterMode="1">
    <tabColor rgb="FFFF9300"/>
  </sheetPr>
  <dimension ref="A1:N43"/>
  <sheetViews>
    <sheetView zoomScale="90" zoomScaleNormal="90" workbookViewId="0"/>
  </sheetViews>
  <sheetFormatPr baseColWidth="10" defaultRowHeight="16"/>
  <cols>
    <col min="1" max="1" width="24.7109375" customWidth="1"/>
    <col min="2" max="14" width="16.7109375" customWidth="1"/>
  </cols>
  <sheetData>
    <row r="1" spans="1:14" ht="37" customHeight="1">
      <c r="A1" s="4">
        <v>46204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4" ht="84" customHeight="1">
      <c r="A2" s="7" t="s">
        <v>25</v>
      </c>
      <c r="B2" s="5" t="s">
        <v>32</v>
      </c>
      <c r="C2" s="5" t="s">
        <v>53</v>
      </c>
      <c r="D2" s="5" t="s">
        <v>33</v>
      </c>
      <c r="E2" s="5" t="s">
        <v>44</v>
      </c>
      <c r="F2" s="5" t="s">
        <v>54</v>
      </c>
      <c r="G2" s="5" t="s">
        <v>34</v>
      </c>
      <c r="H2" s="5" t="s">
        <v>1</v>
      </c>
      <c r="I2" s="5" t="s">
        <v>35</v>
      </c>
      <c r="J2" s="5" t="s">
        <v>55</v>
      </c>
      <c r="K2" s="5" t="s">
        <v>45</v>
      </c>
      <c r="L2" s="5" t="s">
        <v>46</v>
      </c>
      <c r="M2" s="5" t="s">
        <v>61</v>
      </c>
      <c r="N2" s="5" t="s">
        <v>20</v>
      </c>
    </row>
    <row r="3" spans="1:14" ht="23" customHeight="1">
      <c r="A3" s="8" t="s">
        <v>50</v>
      </c>
      <c r="B3" s="1">
        <v>0</v>
      </c>
      <c r="C3" s="1">
        <v>0</v>
      </c>
      <c r="D3" s="1">
        <v>0</v>
      </c>
      <c r="E3" s="1">
        <v>20092.349999999999</v>
      </c>
      <c r="F3" s="1">
        <v>150720.82814699062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">
        <f>SUM(B3:M3)</f>
        <v>170813.17814699063</v>
      </c>
    </row>
    <row r="4" spans="1:14" ht="23" hidden="1" customHeight="1">
      <c r="A4" s="8" t="s">
        <v>43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2">
        <f t="shared" ref="N4:N41" si="0">SUM(B4:M4)</f>
        <v>0</v>
      </c>
    </row>
    <row r="5" spans="1:14" ht="23" hidden="1" customHeight="1">
      <c r="A5" s="8" t="s">
        <v>42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>
        <f t="shared" si="0"/>
        <v>0</v>
      </c>
    </row>
    <row r="6" spans="1:14" ht="23" customHeight="1">
      <c r="A6" s="8" t="s">
        <v>41</v>
      </c>
      <c r="B6" s="1">
        <v>0</v>
      </c>
      <c r="C6" s="1">
        <v>0</v>
      </c>
      <c r="D6" s="1">
        <v>0</v>
      </c>
      <c r="E6" s="1">
        <v>2673</v>
      </c>
      <c r="F6" s="1">
        <v>78602.200036768088</v>
      </c>
      <c r="G6" s="1">
        <v>7518.3397683397689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88793.539805107852</v>
      </c>
    </row>
    <row r="7" spans="1:14" ht="23" customHeight="1">
      <c r="A7" s="8" t="s">
        <v>40</v>
      </c>
      <c r="B7" s="1">
        <v>0</v>
      </c>
      <c r="C7" s="1">
        <v>0</v>
      </c>
      <c r="D7" s="1">
        <v>0</v>
      </c>
      <c r="E7" s="1">
        <v>2673</v>
      </c>
      <c r="F7" s="1">
        <v>163899.75961015106</v>
      </c>
      <c r="G7" s="1">
        <v>8221.1505791505788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f t="shared" si="0"/>
        <v>174793.91018930165</v>
      </c>
    </row>
    <row r="8" spans="1:14" ht="23" customHeight="1">
      <c r="A8" s="8" t="s">
        <v>47</v>
      </c>
      <c r="B8" s="1">
        <v>0</v>
      </c>
      <c r="C8" s="1">
        <v>0</v>
      </c>
      <c r="D8" s="1">
        <v>0</v>
      </c>
      <c r="E8" s="1">
        <v>190924.83049182856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190924.83049182856</v>
      </c>
    </row>
    <row r="9" spans="1:14" ht="23" customHeight="1">
      <c r="A9" s="8" t="s">
        <v>27</v>
      </c>
      <c r="B9" s="1">
        <v>0</v>
      </c>
      <c r="C9" s="1">
        <v>0</v>
      </c>
      <c r="D9" s="1">
        <v>0</v>
      </c>
      <c r="E9" s="1">
        <v>2673</v>
      </c>
      <c r="F9" s="1">
        <v>0</v>
      </c>
      <c r="G9" s="1">
        <v>2815.7894736842104</v>
      </c>
      <c r="H9" s="1">
        <v>0</v>
      </c>
      <c r="I9" s="1">
        <v>0</v>
      </c>
      <c r="J9" s="1">
        <v>0</v>
      </c>
      <c r="K9" s="1">
        <v>0</v>
      </c>
      <c r="L9" s="1">
        <v>42711.81904761905</v>
      </c>
      <c r="M9" s="1">
        <v>26225.179425837319</v>
      </c>
      <c r="N9" s="2">
        <f t="shared" si="0"/>
        <v>74425.787947140576</v>
      </c>
    </row>
    <row r="10" spans="1:14" ht="23" customHeight="1">
      <c r="A10" s="8" t="s">
        <v>28</v>
      </c>
      <c r="B10" s="1">
        <v>0</v>
      </c>
      <c r="C10" s="1">
        <v>0</v>
      </c>
      <c r="D10" s="1">
        <v>0</v>
      </c>
      <c r="E10" s="1">
        <v>5346</v>
      </c>
      <c r="F10" s="1">
        <v>0</v>
      </c>
      <c r="G10" s="1">
        <v>0</v>
      </c>
      <c r="H10" s="1">
        <v>0</v>
      </c>
      <c r="I10" s="1">
        <v>93300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98646</v>
      </c>
    </row>
    <row r="11" spans="1:14" ht="23" customHeight="1">
      <c r="A11" s="8" t="s">
        <v>29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4541.489361702128</v>
      </c>
      <c r="M11" s="1">
        <v>7636.5</v>
      </c>
      <c r="N11" s="2">
        <f t="shared" si="0"/>
        <v>12177.989361702128</v>
      </c>
    </row>
    <row r="12" spans="1:14" ht="23" customHeight="1">
      <c r="A12" s="8" t="s">
        <v>30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900</v>
      </c>
      <c r="M12" s="1">
        <v>22363.363636363636</v>
      </c>
      <c r="N12" s="2">
        <f t="shared" si="0"/>
        <v>23263.363636363636</v>
      </c>
    </row>
    <row r="13" spans="1:14" ht="23" hidden="1" customHeight="1">
      <c r="A13" s="8" t="s">
        <v>48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>
        <f t="shared" si="0"/>
        <v>0</v>
      </c>
    </row>
    <row r="14" spans="1:14" ht="23" hidden="1" customHeight="1">
      <c r="A14" s="8" t="s">
        <v>49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f t="shared" si="0"/>
        <v>0</v>
      </c>
    </row>
    <row r="15" spans="1:14" ht="23" customHeight="1">
      <c r="A15" s="8" t="s">
        <v>31</v>
      </c>
      <c r="B15" s="1">
        <v>0</v>
      </c>
      <c r="C15" s="1">
        <v>0</v>
      </c>
      <c r="D15" s="1">
        <v>0</v>
      </c>
      <c r="E15" s="1">
        <v>8019</v>
      </c>
      <c r="F15" s="1">
        <v>0</v>
      </c>
      <c r="G15" s="1">
        <v>15242.24764037754</v>
      </c>
      <c r="H15" s="1">
        <v>0</v>
      </c>
      <c r="I15" s="1">
        <v>0</v>
      </c>
      <c r="J15" s="1">
        <v>0</v>
      </c>
      <c r="K15" s="1">
        <v>1204.8852173913044</v>
      </c>
      <c r="L15" s="1">
        <v>152462.17283584474</v>
      </c>
      <c r="M15" s="1">
        <v>111489.34967320261</v>
      </c>
      <c r="N15" s="2">
        <f t="shared" si="0"/>
        <v>288417.65536681621</v>
      </c>
    </row>
    <row r="16" spans="1:14" ht="23" customHeight="1">
      <c r="A16" s="8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544.18604651162786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1800</v>
      </c>
      <c r="M16" s="1">
        <v>0</v>
      </c>
      <c r="N16" s="2">
        <f t="shared" si="0"/>
        <v>2344.1860465116279</v>
      </c>
    </row>
    <row r="17" spans="1:14" ht="23" hidden="1" customHeight="1">
      <c r="A17" s="8" t="s">
        <v>23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2">
        <f t="shared" si="0"/>
        <v>0</v>
      </c>
    </row>
    <row r="18" spans="1:14" ht="23" hidden="1" customHeight="1">
      <c r="A18" s="8" t="s">
        <v>24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 t="shared" si="0"/>
        <v>0</v>
      </c>
    </row>
    <row r="19" spans="1:14" ht="23" customHeight="1">
      <c r="A19" s="8" t="s">
        <v>16</v>
      </c>
      <c r="B19" s="1">
        <v>0</v>
      </c>
      <c r="C19" s="1">
        <v>0</v>
      </c>
      <c r="D19" s="1">
        <v>0</v>
      </c>
      <c r="E19" s="1">
        <v>8019</v>
      </c>
      <c r="F19" s="1">
        <v>0</v>
      </c>
      <c r="G19" s="1">
        <v>30598.880179171334</v>
      </c>
      <c r="H19" s="1">
        <v>0</v>
      </c>
      <c r="I19" s="1">
        <v>0</v>
      </c>
      <c r="J19" s="1">
        <v>0</v>
      </c>
      <c r="K19" s="1">
        <v>0</v>
      </c>
      <c r="L19" s="1">
        <v>250983.41837264964</v>
      </c>
      <c r="M19" s="1">
        <v>0</v>
      </c>
      <c r="N19" s="2">
        <f t="shared" si="0"/>
        <v>289601.29855182098</v>
      </c>
    </row>
    <row r="20" spans="1:14" ht="23" hidden="1" customHeight="1">
      <c r="A20" s="8" t="s">
        <v>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 t="shared" si="0"/>
        <v>0</v>
      </c>
    </row>
    <row r="21" spans="1:14" ht="23" customHeight="1">
      <c r="A21" s="8" t="s">
        <v>12</v>
      </c>
      <c r="B21" s="1">
        <v>0</v>
      </c>
      <c r="C21" s="1">
        <v>0</v>
      </c>
      <c r="D21" s="1">
        <v>0</v>
      </c>
      <c r="E21" s="1">
        <v>8019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82965.290469289146</v>
      </c>
      <c r="M21" s="1">
        <v>132624.82131438222</v>
      </c>
      <c r="N21" s="2">
        <f t="shared" si="0"/>
        <v>223609.11178367137</v>
      </c>
    </row>
    <row r="22" spans="1:14" ht="23" customHeight="1">
      <c r="A22" s="8" t="s">
        <v>8</v>
      </c>
      <c r="B22" s="1">
        <v>0</v>
      </c>
      <c r="C22" s="1">
        <v>0</v>
      </c>
      <c r="D22" s="1">
        <v>0</v>
      </c>
      <c r="E22" s="1">
        <v>8019</v>
      </c>
      <c r="F22" s="1">
        <v>473814.47534738691</v>
      </c>
      <c r="G22" s="1">
        <v>38048.471177944863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 t="shared" si="0"/>
        <v>519881.94652533176</v>
      </c>
    </row>
    <row r="23" spans="1:14" ht="23" customHeight="1">
      <c r="A23" s="8" t="s">
        <v>14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62984</v>
      </c>
      <c r="M23" s="1">
        <v>0</v>
      </c>
      <c r="N23" s="2">
        <f t="shared" si="0"/>
        <v>62984</v>
      </c>
    </row>
    <row r="24" spans="1:14" ht="23" customHeight="1">
      <c r="A24" s="8" t="s">
        <v>15</v>
      </c>
      <c r="B24" s="1">
        <v>0</v>
      </c>
      <c r="C24" s="1">
        <v>0</v>
      </c>
      <c r="D24" s="1">
        <v>0</v>
      </c>
      <c r="E24" s="1">
        <v>294828.30855072459</v>
      </c>
      <c r="F24" s="1">
        <v>0</v>
      </c>
      <c r="G24" s="1">
        <v>88716.866290726815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383545.1748414514</v>
      </c>
    </row>
    <row r="25" spans="1:14" ht="23" customHeight="1">
      <c r="A25" s="8" t="s">
        <v>13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48802.493287151578</v>
      </c>
      <c r="M25" s="1">
        <v>0</v>
      </c>
      <c r="N25" s="2">
        <f t="shared" si="0"/>
        <v>48802.493287151578</v>
      </c>
    </row>
    <row r="26" spans="1:14" ht="23" hidden="1" customHeight="1">
      <c r="A26" s="8" t="s">
        <v>51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2">
        <f t="shared" si="0"/>
        <v>0</v>
      </c>
    </row>
    <row r="27" spans="1:14" ht="23" customHeight="1">
      <c r="A27" s="8" t="s">
        <v>7</v>
      </c>
      <c r="B27" s="1">
        <v>0</v>
      </c>
      <c r="C27" s="1">
        <v>0</v>
      </c>
      <c r="D27" s="1">
        <v>0</v>
      </c>
      <c r="E27" s="1">
        <v>244398.0426241135</v>
      </c>
      <c r="F27" s="1">
        <v>0</v>
      </c>
      <c r="G27" s="1">
        <v>39312.857142857145</v>
      </c>
      <c r="H27" s="1">
        <v>0</v>
      </c>
      <c r="I27" s="1">
        <v>31863.5</v>
      </c>
      <c r="J27" s="1">
        <v>0</v>
      </c>
      <c r="K27" s="1">
        <v>0</v>
      </c>
      <c r="L27" s="1">
        <v>0</v>
      </c>
      <c r="M27" s="1">
        <v>0</v>
      </c>
      <c r="N27" s="2">
        <f t="shared" si="0"/>
        <v>315574.39976697066</v>
      </c>
    </row>
    <row r="28" spans="1:14" ht="23" hidden="1" customHeight="1">
      <c r="A28" s="8" t="s">
        <v>21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2">
        <f t="shared" si="0"/>
        <v>0</v>
      </c>
    </row>
    <row r="29" spans="1:14" ht="23" customHeight="1">
      <c r="A29" s="8" t="s">
        <v>5</v>
      </c>
      <c r="B29" s="1">
        <v>0</v>
      </c>
      <c r="C29" s="1">
        <v>725916.45000000007</v>
      </c>
      <c r="D29" s="1">
        <v>0</v>
      </c>
      <c r="E29" s="1">
        <v>6780.7916666666661</v>
      </c>
      <c r="F29" s="1">
        <v>3117.3791666666666</v>
      </c>
      <c r="G29" s="1">
        <v>82486.830128700138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2">
        <f t="shared" si="0"/>
        <v>818301.45096203347</v>
      </c>
    </row>
    <row r="30" spans="1:14" ht="23" hidden="1" customHeight="1">
      <c r="A30" s="8" t="s">
        <v>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0</v>
      </c>
    </row>
    <row r="31" spans="1:14" ht="23" customHeight="1">
      <c r="A31" s="8" t="s">
        <v>18</v>
      </c>
      <c r="B31" s="1">
        <v>0</v>
      </c>
      <c r="C31" s="1">
        <v>0</v>
      </c>
      <c r="D31" s="1">
        <v>12319.5</v>
      </c>
      <c r="E31" s="1">
        <v>5346</v>
      </c>
      <c r="F31" s="1">
        <v>16210.371666666666</v>
      </c>
      <c r="G31" s="1">
        <v>0</v>
      </c>
      <c r="H31" s="1">
        <v>0</v>
      </c>
      <c r="I31" s="1">
        <v>0</v>
      </c>
      <c r="J31" s="1">
        <v>61179.279062499998</v>
      </c>
      <c r="K31" s="1">
        <v>490889.47478260868</v>
      </c>
      <c r="L31" s="1">
        <v>0</v>
      </c>
      <c r="M31" s="1">
        <v>0</v>
      </c>
      <c r="N31" s="2">
        <f t="shared" si="0"/>
        <v>585944.62551177538</v>
      </c>
    </row>
    <row r="32" spans="1:14" ht="23" hidden="1" customHeight="1">
      <c r="A32" s="8" t="s">
        <v>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0"/>
        <v>0</v>
      </c>
    </row>
    <row r="33" spans="1:14" ht="23" hidden="1" customHeight="1">
      <c r="A33" s="8" t="s">
        <v>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2">
        <f t="shared" si="0"/>
        <v>0</v>
      </c>
    </row>
    <row r="34" spans="1:14" ht="23" customHeight="1">
      <c r="A34" s="8" t="s">
        <v>9</v>
      </c>
      <c r="B34" s="1">
        <v>0</v>
      </c>
      <c r="C34" s="1">
        <v>0</v>
      </c>
      <c r="D34" s="1">
        <v>0</v>
      </c>
      <c r="E34" s="1">
        <v>2673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2">
        <f t="shared" si="0"/>
        <v>2673</v>
      </c>
    </row>
    <row r="35" spans="1:14" ht="23" hidden="1" customHeight="1">
      <c r="A35" s="8" t="s">
        <v>10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2">
        <f t="shared" si="0"/>
        <v>0</v>
      </c>
    </row>
    <row r="36" spans="1:14" ht="23" customHeight="1">
      <c r="A36" s="8" t="s">
        <v>17</v>
      </c>
      <c r="B36" s="1">
        <v>0</v>
      </c>
      <c r="C36" s="1">
        <v>0</v>
      </c>
      <c r="D36" s="1">
        <v>0</v>
      </c>
      <c r="E36" s="1">
        <v>2673</v>
      </c>
      <c r="F36" s="1">
        <v>0</v>
      </c>
      <c r="G36" s="1">
        <v>5339.0476190476184</v>
      </c>
      <c r="H36" s="1">
        <v>0</v>
      </c>
      <c r="I36" s="1">
        <v>0</v>
      </c>
      <c r="J36" s="1">
        <v>0</v>
      </c>
      <c r="K36" s="1">
        <v>0</v>
      </c>
      <c r="L36" s="1">
        <v>21278.125</v>
      </c>
      <c r="M36" s="1">
        <v>0</v>
      </c>
      <c r="N36" s="2">
        <f t="shared" si="0"/>
        <v>29290.172619047618</v>
      </c>
    </row>
    <row r="37" spans="1:14" ht="23" hidden="1" customHeight="1">
      <c r="A37" s="8" t="s">
        <v>11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2">
        <f t="shared" si="0"/>
        <v>0</v>
      </c>
    </row>
    <row r="38" spans="1:14" ht="23" customHeight="1">
      <c r="A38" s="8" t="s">
        <v>19</v>
      </c>
      <c r="B38" s="1">
        <v>0</v>
      </c>
      <c r="C38" s="1">
        <v>0</v>
      </c>
      <c r="D38" s="1">
        <v>0</v>
      </c>
      <c r="E38" s="1">
        <v>53776.396666666667</v>
      </c>
      <c r="F38" s="1">
        <v>48705.369978858354</v>
      </c>
      <c r="G38" s="1">
        <v>0</v>
      </c>
      <c r="H38" s="1">
        <v>0</v>
      </c>
      <c r="I38" s="1">
        <v>298479.03999999998</v>
      </c>
      <c r="J38" s="1">
        <v>45928.8909375</v>
      </c>
      <c r="K38" s="1">
        <v>0</v>
      </c>
      <c r="L38" s="1">
        <v>105819.09162574371</v>
      </c>
      <c r="M38" s="1">
        <v>31468.045950214218</v>
      </c>
      <c r="N38" s="2">
        <f t="shared" si="0"/>
        <v>584176.83515898301</v>
      </c>
    </row>
    <row r="39" spans="1:14" ht="23" customHeight="1">
      <c r="A39" s="8" t="s">
        <v>0</v>
      </c>
      <c r="B39" s="1">
        <v>0</v>
      </c>
      <c r="C39" s="1">
        <v>0</v>
      </c>
      <c r="D39" s="1">
        <v>127315.11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2">
        <f t="shared" si="0"/>
        <v>127315.11</v>
      </c>
    </row>
    <row r="40" spans="1:14" ht="23" customHeight="1">
      <c r="A40" s="8" t="s">
        <v>22</v>
      </c>
      <c r="B40" s="1">
        <v>66158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 t="shared" si="0"/>
        <v>66158</v>
      </c>
    </row>
    <row r="41" spans="1:14" ht="23" customHeight="1">
      <c r="A41" s="8" t="s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421546.86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2">
        <f t="shared" si="0"/>
        <v>421546.86</v>
      </c>
    </row>
    <row r="42" spans="1:14" ht="23" customHeight="1" thickBot="1">
      <c r="B42" s="3">
        <f>SUM(B3:B41)</f>
        <v>66158</v>
      </c>
      <c r="C42" s="3">
        <f t="shared" ref="C42:N42" si="1">SUM(C3:C41)</f>
        <v>725916.45000000007</v>
      </c>
      <c r="D42" s="3">
        <f t="shared" si="1"/>
        <v>139634.60999999999</v>
      </c>
      <c r="E42" s="3">
        <f t="shared" si="1"/>
        <v>866933.72</v>
      </c>
      <c r="F42" s="3">
        <f t="shared" si="1"/>
        <v>935614.57000000007</v>
      </c>
      <c r="G42" s="3">
        <f t="shared" si="1"/>
        <v>318300.48000000004</v>
      </c>
      <c r="H42" s="3">
        <f t="shared" si="1"/>
        <v>421546.86</v>
      </c>
      <c r="I42" s="3">
        <f t="shared" si="1"/>
        <v>423642.54</v>
      </c>
      <c r="J42" s="3">
        <f t="shared" si="1"/>
        <v>107108.17</v>
      </c>
      <c r="K42" s="3">
        <f t="shared" si="1"/>
        <v>492094.36</v>
      </c>
      <c r="L42" s="3">
        <f t="shared" si="1"/>
        <v>775247.89999999991</v>
      </c>
      <c r="M42" s="3">
        <f t="shared" si="1"/>
        <v>331807.25999999995</v>
      </c>
      <c r="N42" s="3">
        <f t="shared" si="1"/>
        <v>5604004.9200000009</v>
      </c>
    </row>
    <row r="43" spans="1:14" ht="17" thickTop="1"/>
  </sheetData>
  <autoFilter ref="A2:N42" xr:uid="{1A0A5B7B-78BF-5845-8290-5273362ED458}">
    <filterColumn colId="13">
      <filters>
        <filter val="12,177.99"/>
        <filter val="127,315.11"/>
        <filter val="170,813.18"/>
        <filter val="174,793.91"/>
        <filter val="190,924.83"/>
        <filter val="2,344.19"/>
        <filter val="2,673.00"/>
        <filter val="223,609.11"/>
        <filter val="23,263.36"/>
        <filter val="288,417.66"/>
        <filter val="289,601.30"/>
        <filter val="29,290.17"/>
        <filter val="315,574.40"/>
        <filter val="383,545.17"/>
        <filter val="421,546.86"/>
        <filter val="48,802.49"/>
        <filter val="5,604,004.92"/>
        <filter val="519,881.95"/>
        <filter val="584,176.84"/>
        <filter val="585,944.63"/>
        <filter val="62,984.00"/>
        <filter val="66,158.00"/>
        <filter val="74,425.79"/>
        <filter val="818,301.45"/>
        <filter val="88,793.54"/>
        <filter val="98,646.00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D705-EA93-D14A-B9CE-508554D7CACB}">
  <sheetPr filterMode="1">
    <tabColor rgb="FF0432FF"/>
  </sheetPr>
  <dimension ref="A1:N43"/>
  <sheetViews>
    <sheetView zoomScale="90" zoomScaleNormal="90" workbookViewId="0">
      <selection activeCell="M2" sqref="M2"/>
    </sheetView>
  </sheetViews>
  <sheetFormatPr baseColWidth="10" defaultRowHeight="16"/>
  <cols>
    <col min="1" max="1" width="24.7109375" customWidth="1"/>
    <col min="2" max="14" width="16.7109375" customWidth="1"/>
  </cols>
  <sheetData>
    <row r="1" spans="1:14" ht="37" customHeight="1">
      <c r="A1" s="4">
        <v>46174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4" ht="84" customHeight="1">
      <c r="A2" s="7" t="s">
        <v>25</v>
      </c>
      <c r="B2" s="5" t="s">
        <v>32</v>
      </c>
      <c r="C2" s="5" t="s">
        <v>53</v>
      </c>
      <c r="D2" s="5" t="s">
        <v>33</v>
      </c>
      <c r="E2" s="5" t="s">
        <v>44</v>
      </c>
      <c r="F2" s="5" t="s">
        <v>54</v>
      </c>
      <c r="G2" s="5" t="s">
        <v>34</v>
      </c>
      <c r="H2" s="5" t="s">
        <v>1</v>
      </c>
      <c r="I2" s="5" t="s">
        <v>35</v>
      </c>
      <c r="J2" s="5" t="s">
        <v>55</v>
      </c>
      <c r="K2" s="5" t="s">
        <v>45</v>
      </c>
      <c r="L2" s="5" t="s">
        <v>46</v>
      </c>
      <c r="M2" s="5" t="s">
        <v>61</v>
      </c>
      <c r="N2" s="5" t="s">
        <v>20</v>
      </c>
    </row>
    <row r="3" spans="1:14" ht="23" customHeight="1">
      <c r="A3" s="8" t="s">
        <v>50</v>
      </c>
      <c r="B3" s="1">
        <v>0</v>
      </c>
      <c r="C3" s="1">
        <v>0</v>
      </c>
      <c r="D3" s="1">
        <v>0</v>
      </c>
      <c r="E3" s="1">
        <v>2673</v>
      </c>
      <c r="F3" s="1">
        <v>118289.61240310076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36900</v>
      </c>
      <c r="M3" s="1">
        <v>0</v>
      </c>
      <c r="N3" s="2">
        <f>SUM(B3:M3)</f>
        <v>157862.61240310076</v>
      </c>
    </row>
    <row r="4" spans="1:14" ht="23" hidden="1" customHeight="1">
      <c r="A4" s="8" t="s">
        <v>43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2">
        <f t="shared" ref="N4:N41" si="0">SUM(B4:M4)</f>
        <v>0</v>
      </c>
    </row>
    <row r="5" spans="1:14" ht="23" hidden="1" customHeight="1">
      <c r="A5" s="8" t="s">
        <v>42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>
        <f t="shared" si="0"/>
        <v>0</v>
      </c>
    </row>
    <row r="6" spans="1:14" ht="23" customHeight="1">
      <c r="A6" s="8" t="s">
        <v>41</v>
      </c>
      <c r="B6" s="1">
        <v>0</v>
      </c>
      <c r="C6" s="1">
        <v>0</v>
      </c>
      <c r="D6" s="1">
        <v>0</v>
      </c>
      <c r="E6" s="1">
        <v>2673</v>
      </c>
      <c r="F6" s="1">
        <v>60578.43364037088</v>
      </c>
      <c r="G6" s="1">
        <v>13419.097479674796</v>
      </c>
      <c r="H6" s="1">
        <v>0</v>
      </c>
      <c r="I6" s="1">
        <v>0</v>
      </c>
      <c r="J6" s="1">
        <v>0</v>
      </c>
      <c r="K6" s="1">
        <v>0</v>
      </c>
      <c r="L6" s="1">
        <v>36900</v>
      </c>
      <c r="M6" s="1">
        <v>0</v>
      </c>
      <c r="N6" s="2">
        <f t="shared" si="0"/>
        <v>113570.53112004568</v>
      </c>
    </row>
    <row r="7" spans="1:14" ht="23" customHeight="1">
      <c r="A7" s="8" t="s">
        <v>40</v>
      </c>
      <c r="B7" s="1">
        <v>0</v>
      </c>
      <c r="C7" s="1">
        <v>0</v>
      </c>
      <c r="D7" s="1">
        <v>0</v>
      </c>
      <c r="E7" s="1">
        <v>2673</v>
      </c>
      <c r="F7" s="1">
        <v>120974.06315245476</v>
      </c>
      <c r="G7" s="1">
        <v>10366.393670150987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f t="shared" si="0"/>
        <v>134013.45682260575</v>
      </c>
    </row>
    <row r="8" spans="1:14" ht="23" customHeight="1">
      <c r="A8" s="8" t="s">
        <v>47</v>
      </c>
      <c r="B8" s="1">
        <v>0</v>
      </c>
      <c r="C8" s="1">
        <v>0</v>
      </c>
      <c r="D8" s="1">
        <v>0</v>
      </c>
      <c r="E8" s="1">
        <v>168918.32373754156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168918.32373754156</v>
      </c>
    </row>
    <row r="9" spans="1:14" ht="23" customHeight="1">
      <c r="A9" s="8" t="s">
        <v>27</v>
      </c>
      <c r="B9" s="1">
        <v>0</v>
      </c>
      <c r="C9" s="1">
        <v>0</v>
      </c>
      <c r="D9" s="1">
        <v>0</v>
      </c>
      <c r="E9" s="1">
        <v>2673</v>
      </c>
      <c r="F9" s="1">
        <v>0</v>
      </c>
      <c r="G9" s="1">
        <v>22370.243902439026</v>
      </c>
      <c r="H9" s="1">
        <v>0</v>
      </c>
      <c r="I9" s="1">
        <v>0</v>
      </c>
      <c r="J9" s="1">
        <v>0</v>
      </c>
      <c r="K9" s="1">
        <v>0</v>
      </c>
      <c r="L9" s="1">
        <v>49361.205854341737</v>
      </c>
      <c r="M9" s="1">
        <v>31421.590909090908</v>
      </c>
      <c r="N9" s="2">
        <f t="shared" si="0"/>
        <v>105826.04066587167</v>
      </c>
    </row>
    <row r="10" spans="1:14" ht="23" customHeight="1">
      <c r="A10" s="8" t="s">
        <v>28</v>
      </c>
      <c r="B10" s="1">
        <v>0</v>
      </c>
      <c r="C10" s="1">
        <v>0</v>
      </c>
      <c r="D10" s="1">
        <v>0</v>
      </c>
      <c r="E10" s="1">
        <v>97946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97946</v>
      </c>
    </row>
    <row r="11" spans="1:14" ht="23" customHeight="1">
      <c r="A11" s="8" t="s">
        <v>29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4000.0952380952381</v>
      </c>
      <c r="M11" s="1">
        <v>8405.545454545454</v>
      </c>
      <c r="N11" s="2">
        <f t="shared" si="0"/>
        <v>12405.640692640693</v>
      </c>
    </row>
    <row r="12" spans="1:14" ht="23" customHeight="1">
      <c r="A12" s="8" t="s">
        <v>30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7714.4285714285706</v>
      </c>
      <c r="M12" s="1">
        <v>21023.045454545456</v>
      </c>
      <c r="N12" s="2">
        <f t="shared" si="0"/>
        <v>28737.474025974028</v>
      </c>
    </row>
    <row r="13" spans="1:14" ht="23" hidden="1" customHeight="1">
      <c r="A13" s="8" t="s">
        <v>48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>
        <f t="shared" si="0"/>
        <v>0</v>
      </c>
    </row>
    <row r="14" spans="1:14" ht="23" hidden="1" customHeight="1">
      <c r="A14" s="8" t="s">
        <v>49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f t="shared" si="0"/>
        <v>0</v>
      </c>
    </row>
    <row r="15" spans="1:14" ht="23" customHeight="1">
      <c r="A15" s="8" t="s">
        <v>31</v>
      </c>
      <c r="B15" s="1">
        <v>0</v>
      </c>
      <c r="C15" s="1">
        <v>0</v>
      </c>
      <c r="D15" s="1">
        <v>0</v>
      </c>
      <c r="E15" s="1">
        <v>8019</v>
      </c>
      <c r="F15" s="1">
        <v>0</v>
      </c>
      <c r="G15" s="1">
        <v>14592.134146341463</v>
      </c>
      <c r="H15" s="1">
        <v>0</v>
      </c>
      <c r="I15" s="1">
        <v>0</v>
      </c>
      <c r="J15" s="1">
        <v>0</v>
      </c>
      <c r="K15" s="1">
        <v>0</v>
      </c>
      <c r="L15" s="1">
        <v>152277.62383152283</v>
      </c>
      <c r="M15" s="1">
        <v>85058.136363636353</v>
      </c>
      <c r="N15" s="2">
        <f t="shared" si="0"/>
        <v>259946.89434150065</v>
      </c>
    </row>
    <row r="16" spans="1:14" ht="23" hidden="1" customHeight="1">
      <c r="A16" s="8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>
        <f t="shared" si="0"/>
        <v>0</v>
      </c>
    </row>
    <row r="17" spans="1:14" ht="23" hidden="1" customHeight="1">
      <c r="A17" s="8" t="s">
        <v>23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2">
        <f t="shared" si="0"/>
        <v>0</v>
      </c>
    </row>
    <row r="18" spans="1:14" ht="23" hidden="1" customHeight="1">
      <c r="A18" s="8" t="s">
        <v>24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 t="shared" si="0"/>
        <v>0</v>
      </c>
    </row>
    <row r="19" spans="1:14" ht="23" customHeight="1">
      <c r="A19" s="8" t="s">
        <v>16</v>
      </c>
      <c r="B19" s="1">
        <v>0</v>
      </c>
      <c r="C19" s="1">
        <v>0</v>
      </c>
      <c r="D19" s="1">
        <v>0</v>
      </c>
      <c r="E19" s="1">
        <v>8019</v>
      </c>
      <c r="F19" s="1">
        <v>0</v>
      </c>
      <c r="G19" s="1">
        <v>21016.890243902439</v>
      </c>
      <c r="H19" s="1">
        <v>0</v>
      </c>
      <c r="I19" s="1">
        <v>0</v>
      </c>
      <c r="J19" s="1">
        <v>0</v>
      </c>
      <c r="K19" s="1">
        <v>0</v>
      </c>
      <c r="L19" s="1">
        <v>262590.16342043935</v>
      </c>
      <c r="M19" s="1">
        <v>0</v>
      </c>
      <c r="N19" s="2">
        <f t="shared" si="0"/>
        <v>291626.0536643418</v>
      </c>
    </row>
    <row r="20" spans="1:14" ht="23" hidden="1" customHeight="1">
      <c r="A20" s="8" t="s">
        <v>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 t="shared" si="0"/>
        <v>0</v>
      </c>
    </row>
    <row r="21" spans="1:14" ht="23" customHeight="1">
      <c r="A21" s="8" t="s">
        <v>12</v>
      </c>
      <c r="B21" s="1">
        <v>0</v>
      </c>
      <c r="C21" s="1">
        <v>0</v>
      </c>
      <c r="D21" s="1">
        <v>0</v>
      </c>
      <c r="E21" s="1">
        <v>8019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96876.046912819744</v>
      </c>
      <c r="M21" s="1">
        <v>152411.19242770958</v>
      </c>
      <c r="N21" s="2">
        <f t="shared" si="0"/>
        <v>257306.23934052931</v>
      </c>
    </row>
    <row r="22" spans="1:14" ht="23" customHeight="1">
      <c r="A22" s="8" t="s">
        <v>8</v>
      </c>
      <c r="B22" s="1">
        <v>0</v>
      </c>
      <c r="C22" s="1">
        <v>0</v>
      </c>
      <c r="D22" s="1">
        <v>0</v>
      </c>
      <c r="E22" s="1">
        <v>8019</v>
      </c>
      <c r="F22" s="1">
        <v>420003.57361453114</v>
      </c>
      <c r="G22" s="1">
        <v>64593.365853658535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 t="shared" si="0"/>
        <v>492615.93946818967</v>
      </c>
    </row>
    <row r="23" spans="1:14" ht="23" customHeight="1">
      <c r="A23" s="8" t="s">
        <v>14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49254.935509505471</v>
      </c>
      <c r="M23" s="1">
        <v>0</v>
      </c>
      <c r="N23" s="2">
        <f t="shared" si="0"/>
        <v>49254.935509505471</v>
      </c>
    </row>
    <row r="24" spans="1:14" ht="23" customHeight="1">
      <c r="A24" s="8" t="s">
        <v>15</v>
      </c>
      <c r="B24" s="1">
        <v>0</v>
      </c>
      <c r="C24" s="1">
        <v>0</v>
      </c>
      <c r="D24" s="1">
        <v>0</v>
      </c>
      <c r="E24" s="1">
        <v>282440.68337209302</v>
      </c>
      <c r="F24" s="1">
        <v>0</v>
      </c>
      <c r="G24" s="1">
        <v>70734.439024390245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353175.12239648326</v>
      </c>
    </row>
    <row r="25" spans="1:14" ht="23" customHeight="1">
      <c r="A25" s="8" t="s">
        <v>13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41080.898701298698</v>
      </c>
      <c r="M25" s="1">
        <v>0</v>
      </c>
      <c r="N25" s="2">
        <f t="shared" si="0"/>
        <v>41080.898701298698</v>
      </c>
    </row>
    <row r="26" spans="1:14" ht="23" hidden="1" customHeight="1">
      <c r="A26" s="8" t="s">
        <v>51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2">
        <f t="shared" si="0"/>
        <v>0</v>
      </c>
    </row>
    <row r="27" spans="1:14" ht="23" customHeight="1">
      <c r="A27" s="8" t="s">
        <v>7</v>
      </c>
      <c r="B27" s="1">
        <v>0</v>
      </c>
      <c r="C27" s="1">
        <v>0</v>
      </c>
      <c r="D27" s="1">
        <v>0</v>
      </c>
      <c r="E27" s="1">
        <v>349544.94635105197</v>
      </c>
      <c r="F27" s="1">
        <v>0</v>
      </c>
      <c r="G27" s="1">
        <v>39705.853658536587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2">
        <f t="shared" si="0"/>
        <v>389250.80000958854</v>
      </c>
    </row>
    <row r="28" spans="1:14" ht="23" hidden="1" customHeight="1">
      <c r="A28" s="8" t="s">
        <v>21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2">
        <f t="shared" si="0"/>
        <v>0</v>
      </c>
    </row>
    <row r="29" spans="1:14" ht="23" customHeight="1">
      <c r="A29" s="8" t="s">
        <v>5</v>
      </c>
      <c r="B29" s="1">
        <v>0</v>
      </c>
      <c r="C29" s="1">
        <v>722819.9800000001</v>
      </c>
      <c r="D29" s="1">
        <v>0</v>
      </c>
      <c r="E29" s="1">
        <v>76132.612353266886</v>
      </c>
      <c r="F29" s="1">
        <v>1758.5294117647059</v>
      </c>
      <c r="G29" s="1">
        <v>143480.11372822302</v>
      </c>
      <c r="H29" s="1">
        <v>0</v>
      </c>
      <c r="I29" s="1">
        <v>0</v>
      </c>
      <c r="J29" s="1">
        <v>32292.198636363635</v>
      </c>
      <c r="K29" s="1">
        <v>0</v>
      </c>
      <c r="L29" s="1">
        <v>0</v>
      </c>
      <c r="M29" s="1">
        <v>0</v>
      </c>
      <c r="N29" s="2">
        <f t="shared" si="0"/>
        <v>976483.43412961834</v>
      </c>
    </row>
    <row r="30" spans="1:14" ht="23" hidden="1" customHeight="1">
      <c r="A30" s="8" t="s">
        <v>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0</v>
      </c>
    </row>
    <row r="31" spans="1:14" ht="23" customHeight="1">
      <c r="A31" s="8" t="s">
        <v>18</v>
      </c>
      <c r="B31" s="1">
        <v>0</v>
      </c>
      <c r="C31" s="1">
        <v>0</v>
      </c>
      <c r="D31" s="1">
        <v>12319.5</v>
      </c>
      <c r="E31" s="1">
        <v>6947.6279069767443</v>
      </c>
      <c r="F31" s="1">
        <v>0</v>
      </c>
      <c r="G31" s="1">
        <v>0</v>
      </c>
      <c r="H31" s="1">
        <v>0</v>
      </c>
      <c r="I31" s="1">
        <v>0</v>
      </c>
      <c r="J31" s="1">
        <v>48986.181818181816</v>
      </c>
      <c r="K31" s="1">
        <v>523941.45</v>
      </c>
      <c r="L31" s="1">
        <v>0</v>
      </c>
      <c r="M31" s="1">
        <v>0</v>
      </c>
      <c r="N31" s="2">
        <f t="shared" si="0"/>
        <v>592194.75972515857</v>
      </c>
    </row>
    <row r="32" spans="1:14" ht="23" customHeight="1">
      <c r="A32" s="8" t="s">
        <v>2</v>
      </c>
      <c r="B32" s="1">
        <v>0</v>
      </c>
      <c r="C32" s="1">
        <v>0</v>
      </c>
      <c r="D32" s="1">
        <v>0</v>
      </c>
      <c r="E32" s="1">
        <v>1325.5813953488373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0"/>
        <v>1325.5813953488373</v>
      </c>
    </row>
    <row r="33" spans="1:14" ht="23" hidden="1" customHeight="1">
      <c r="A33" s="8" t="s">
        <v>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2">
        <f t="shared" si="0"/>
        <v>0</v>
      </c>
    </row>
    <row r="34" spans="1:14" ht="23" customHeight="1">
      <c r="A34" s="8" t="s">
        <v>9</v>
      </c>
      <c r="B34" s="1">
        <v>0</v>
      </c>
      <c r="C34" s="1">
        <v>0</v>
      </c>
      <c r="D34" s="1">
        <v>0</v>
      </c>
      <c r="E34" s="1">
        <v>2673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2">
        <f t="shared" si="0"/>
        <v>2673</v>
      </c>
    </row>
    <row r="35" spans="1:14" ht="23" hidden="1" customHeight="1">
      <c r="A35" s="8" t="s">
        <v>10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2">
        <f t="shared" si="0"/>
        <v>0</v>
      </c>
    </row>
    <row r="36" spans="1:14" ht="23" customHeight="1">
      <c r="A36" s="8" t="s">
        <v>17</v>
      </c>
      <c r="B36" s="1">
        <v>0</v>
      </c>
      <c r="C36" s="1">
        <v>0</v>
      </c>
      <c r="D36" s="1">
        <v>0</v>
      </c>
      <c r="E36" s="1">
        <v>2673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24141</v>
      </c>
      <c r="M36" s="1">
        <v>0</v>
      </c>
      <c r="N36" s="2">
        <f t="shared" si="0"/>
        <v>26814</v>
      </c>
    </row>
    <row r="37" spans="1:14" ht="23" customHeight="1">
      <c r="A37" s="8" t="s">
        <v>11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5469.2682926829266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2">
        <f t="shared" si="0"/>
        <v>5469.2682926829266</v>
      </c>
    </row>
    <row r="38" spans="1:14" ht="23" customHeight="1">
      <c r="A38" s="8" t="s">
        <v>19</v>
      </c>
      <c r="B38" s="1">
        <v>0</v>
      </c>
      <c r="C38" s="1">
        <v>0</v>
      </c>
      <c r="D38" s="1">
        <v>0</v>
      </c>
      <c r="E38" s="1">
        <v>120203.53488372093</v>
      </c>
      <c r="F38" s="1">
        <v>70769.777777777781</v>
      </c>
      <c r="G38" s="1">
        <v>0</v>
      </c>
      <c r="H38" s="1">
        <v>0</v>
      </c>
      <c r="I38" s="1">
        <v>223983.33000000002</v>
      </c>
      <c r="J38" s="1">
        <v>35072.679545454543</v>
      </c>
      <c r="K38" s="1">
        <v>0</v>
      </c>
      <c r="L38" s="1">
        <v>126589.15196054841</v>
      </c>
      <c r="M38" s="1">
        <v>32255.489390472227</v>
      </c>
      <c r="N38" s="2">
        <f t="shared" si="0"/>
        <v>608873.96355797385</v>
      </c>
    </row>
    <row r="39" spans="1:14" ht="23" customHeight="1">
      <c r="A39" s="8" t="s">
        <v>0</v>
      </c>
      <c r="B39" s="1">
        <v>0</v>
      </c>
      <c r="C39" s="1">
        <v>0</v>
      </c>
      <c r="D39" s="1">
        <v>124643.83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2">
        <f t="shared" si="0"/>
        <v>124643.83</v>
      </c>
    </row>
    <row r="40" spans="1:14" ht="23" customHeight="1">
      <c r="A40" s="8" t="s">
        <v>22</v>
      </c>
      <c r="B40" s="1">
        <v>66158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 t="shared" si="0"/>
        <v>66158</v>
      </c>
    </row>
    <row r="41" spans="1:14" ht="23" customHeight="1">
      <c r="A41" s="8" t="s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416531.52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2">
        <f t="shared" si="0"/>
        <v>416531.52</v>
      </c>
    </row>
    <row r="42" spans="1:14" ht="23" customHeight="1" thickBot="1">
      <c r="A42" s="8"/>
      <c r="B42" s="3">
        <f>SUM(B3:B41)</f>
        <v>66158</v>
      </c>
      <c r="C42" s="3">
        <f t="shared" ref="C42:N42" si="1">SUM(C3:C41)</f>
        <v>722819.9800000001</v>
      </c>
      <c r="D42" s="3">
        <f t="shared" si="1"/>
        <v>136963.33000000002</v>
      </c>
      <c r="E42" s="3">
        <f t="shared" si="1"/>
        <v>1151573.31</v>
      </c>
      <c r="F42" s="3">
        <f t="shared" si="1"/>
        <v>792373.99</v>
      </c>
      <c r="G42" s="3">
        <f t="shared" si="1"/>
        <v>405747.80000000005</v>
      </c>
      <c r="H42" s="3">
        <f t="shared" si="1"/>
        <v>416531.52</v>
      </c>
      <c r="I42" s="3">
        <f t="shared" si="1"/>
        <v>223983.33000000002</v>
      </c>
      <c r="J42" s="3">
        <f t="shared" si="1"/>
        <v>116351.06</v>
      </c>
      <c r="K42" s="3">
        <f t="shared" si="1"/>
        <v>523941.45</v>
      </c>
      <c r="L42" s="3">
        <f t="shared" si="1"/>
        <v>887685.55</v>
      </c>
      <c r="M42" s="3">
        <f t="shared" si="1"/>
        <v>330575</v>
      </c>
      <c r="N42" s="3">
        <f t="shared" si="1"/>
        <v>5774704.3200000003</v>
      </c>
    </row>
    <row r="43" spans="1:14" ht="17" thickTop="1"/>
  </sheetData>
  <autoFilter ref="A2:N42" xr:uid="{0F96D705-EA93-D14A-B9CE-508554D7CACB}">
    <filterColumn colId="13">
      <filters>
        <filter val="1,325.58"/>
        <filter val="105,826.04"/>
        <filter val="113,570.53"/>
        <filter val="12,405.64"/>
        <filter val="124,643.83"/>
        <filter val="134,013.46"/>
        <filter val="157,862.61"/>
        <filter val="168,918.32"/>
        <filter val="2,673.00"/>
        <filter val="257,306.24"/>
        <filter val="259,946.89"/>
        <filter val="26,814.00"/>
        <filter val="28,737.47"/>
        <filter val="291,626.05"/>
        <filter val="353,175.12"/>
        <filter val="389,250.80"/>
        <filter val="41,080.90"/>
        <filter val="416,531.52"/>
        <filter val="49,254.94"/>
        <filter val="492,615.94"/>
        <filter val="5,469.27"/>
        <filter val="5,774,704.32"/>
        <filter val="592,194.76"/>
        <filter val="608,873.96"/>
        <filter val="66,158.00"/>
        <filter val="97,946.00"/>
        <filter val="976,483.43"/>
      </filters>
    </filterColumn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46F5-966A-4C40-8146-1E8B017BF719}">
  <sheetPr filterMode="1">
    <tabColor rgb="FFFF85FF"/>
  </sheetPr>
  <dimension ref="A1:N43"/>
  <sheetViews>
    <sheetView zoomScale="90" zoomScaleNormal="90" workbookViewId="0"/>
  </sheetViews>
  <sheetFormatPr baseColWidth="10" defaultRowHeight="16"/>
  <cols>
    <col min="1" max="1" width="24.7109375" customWidth="1"/>
    <col min="2" max="13" width="16.7109375" style="10" customWidth="1"/>
    <col min="14" max="14" width="16.7109375" customWidth="1"/>
  </cols>
  <sheetData>
    <row r="1" spans="1:14" ht="37" customHeight="1">
      <c r="A1" s="4">
        <v>46143</v>
      </c>
      <c r="M1"/>
    </row>
    <row r="2" spans="1:14" ht="84" customHeight="1">
      <c r="A2" s="7" t="s">
        <v>25</v>
      </c>
      <c r="B2" s="5" t="s">
        <v>32</v>
      </c>
      <c r="C2" s="5" t="s">
        <v>58</v>
      </c>
      <c r="D2" s="5" t="s">
        <v>33</v>
      </c>
      <c r="E2" s="5" t="s">
        <v>44</v>
      </c>
      <c r="F2" s="5" t="s">
        <v>59</v>
      </c>
      <c r="G2" s="5" t="s">
        <v>34</v>
      </c>
      <c r="H2" s="5" t="s">
        <v>1</v>
      </c>
      <c r="I2" s="5" t="s">
        <v>35</v>
      </c>
      <c r="J2" s="5" t="s">
        <v>60</v>
      </c>
      <c r="K2" s="5" t="s">
        <v>45</v>
      </c>
      <c r="L2" s="5" t="s">
        <v>46</v>
      </c>
      <c r="M2" s="5" t="s">
        <v>62</v>
      </c>
      <c r="N2" s="5" t="s">
        <v>20</v>
      </c>
    </row>
    <row r="3" spans="1:14" ht="23" customHeight="1">
      <c r="A3" s="8" t="s">
        <v>50</v>
      </c>
      <c r="B3" s="1">
        <v>0</v>
      </c>
      <c r="C3" s="1">
        <v>0</v>
      </c>
      <c r="D3" s="1">
        <v>0</v>
      </c>
      <c r="E3" s="1">
        <v>2673</v>
      </c>
      <c r="F3" s="1">
        <v>105136.10506741132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10800</v>
      </c>
      <c r="M3" s="1">
        <v>0</v>
      </c>
      <c r="N3" s="2">
        <f>SUM(B3:M3)</f>
        <v>118609.10506741132</v>
      </c>
    </row>
    <row r="4" spans="1:14" ht="23" hidden="1" customHeight="1">
      <c r="A4" s="8" t="s">
        <v>43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2">
        <f t="shared" ref="N4:N41" si="0">SUM(B4:M4)</f>
        <v>0</v>
      </c>
    </row>
    <row r="5" spans="1:14" ht="23" hidden="1" customHeight="1">
      <c r="A5" s="8" t="s">
        <v>42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>
        <f t="shared" si="0"/>
        <v>0</v>
      </c>
    </row>
    <row r="6" spans="1:14" ht="23" customHeight="1">
      <c r="A6" s="8" t="s">
        <v>41</v>
      </c>
      <c r="B6" s="1">
        <v>0</v>
      </c>
      <c r="C6" s="1">
        <v>0</v>
      </c>
      <c r="D6" s="1">
        <v>0</v>
      </c>
      <c r="E6" s="1">
        <v>2673</v>
      </c>
      <c r="F6" s="1">
        <v>60252.355667687043</v>
      </c>
      <c r="G6" s="1">
        <v>10720.696606334841</v>
      </c>
      <c r="H6" s="1">
        <v>0</v>
      </c>
      <c r="I6" s="1">
        <v>0</v>
      </c>
      <c r="J6" s="1">
        <v>0</v>
      </c>
      <c r="K6" s="1">
        <v>0</v>
      </c>
      <c r="L6" s="1">
        <v>32400</v>
      </c>
      <c r="M6" s="1">
        <v>0</v>
      </c>
      <c r="N6" s="2">
        <f t="shared" si="0"/>
        <v>106046.05227402189</v>
      </c>
    </row>
    <row r="7" spans="1:14" ht="23" customHeight="1">
      <c r="A7" s="8" t="s">
        <v>40</v>
      </c>
      <c r="B7" s="1">
        <v>0</v>
      </c>
      <c r="C7" s="1">
        <v>0</v>
      </c>
      <c r="D7" s="1">
        <v>0</v>
      </c>
      <c r="E7" s="1">
        <v>2673</v>
      </c>
      <c r="F7" s="1">
        <v>101006.11674665086</v>
      </c>
      <c r="G7" s="1">
        <v>10720.696606334841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f t="shared" si="0"/>
        <v>114399.8133529857</v>
      </c>
    </row>
    <row r="8" spans="1:14" ht="23" customHeight="1">
      <c r="A8" s="8" t="s">
        <v>47</v>
      </c>
      <c r="B8" s="1">
        <v>0</v>
      </c>
      <c r="C8" s="1">
        <v>0</v>
      </c>
      <c r="D8" s="1">
        <v>0</v>
      </c>
      <c r="E8" s="1">
        <v>103883.22511687873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103883.22511687873</v>
      </c>
    </row>
    <row r="9" spans="1:14" ht="23" customHeight="1">
      <c r="A9" s="8" t="s">
        <v>27</v>
      </c>
      <c r="B9" s="1">
        <v>0</v>
      </c>
      <c r="C9" s="1">
        <v>0</v>
      </c>
      <c r="D9" s="1">
        <v>0</v>
      </c>
      <c r="E9" s="1">
        <v>2673</v>
      </c>
      <c r="F9" s="1">
        <v>0</v>
      </c>
      <c r="G9" s="1">
        <v>54480.463972415193</v>
      </c>
      <c r="H9" s="1">
        <v>0</v>
      </c>
      <c r="I9" s="1">
        <v>0</v>
      </c>
      <c r="J9" s="1">
        <v>0</v>
      </c>
      <c r="K9" s="1">
        <v>0</v>
      </c>
      <c r="L9" s="1">
        <v>78128.275700280123</v>
      </c>
      <c r="M9" s="1">
        <v>34025.99324324324</v>
      </c>
      <c r="N9" s="2">
        <f t="shared" si="0"/>
        <v>169307.73291593854</v>
      </c>
    </row>
    <row r="10" spans="1:14" ht="23" customHeight="1">
      <c r="A10" s="8" t="s">
        <v>28</v>
      </c>
      <c r="B10" s="1">
        <v>0</v>
      </c>
      <c r="C10" s="1">
        <v>0</v>
      </c>
      <c r="D10" s="1">
        <v>0</v>
      </c>
      <c r="E10" s="1">
        <v>82501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82501</v>
      </c>
    </row>
    <row r="11" spans="1:14" ht="23" customHeight="1">
      <c r="A11" s="8" t="s">
        <v>29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6539.6333333333332</v>
      </c>
      <c r="N11" s="2">
        <f t="shared" si="0"/>
        <v>6539.6333333333332</v>
      </c>
    </row>
    <row r="12" spans="1:14" ht="23" customHeight="1">
      <c r="A12" s="8" t="s">
        <v>30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21708.716666666667</v>
      </c>
      <c r="N12" s="2">
        <f t="shared" si="0"/>
        <v>21708.716666666667</v>
      </c>
    </row>
    <row r="13" spans="1:14" ht="23" hidden="1" customHeight="1">
      <c r="A13" s="8" t="s">
        <v>48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>
        <f t="shared" si="0"/>
        <v>0</v>
      </c>
    </row>
    <row r="14" spans="1:14" ht="23" hidden="1" customHeight="1">
      <c r="A14" s="8" t="s">
        <v>49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f t="shared" si="0"/>
        <v>0</v>
      </c>
    </row>
    <row r="15" spans="1:14" ht="23" customHeight="1">
      <c r="A15" s="8" t="s">
        <v>31</v>
      </c>
      <c r="B15" s="1">
        <v>0</v>
      </c>
      <c r="C15" s="1">
        <v>0</v>
      </c>
      <c r="D15" s="1">
        <v>0</v>
      </c>
      <c r="E15" s="1">
        <v>8019</v>
      </c>
      <c r="F15" s="1">
        <v>0</v>
      </c>
      <c r="G15" s="1">
        <v>25632.203235130066</v>
      </c>
      <c r="H15" s="1">
        <v>0</v>
      </c>
      <c r="I15" s="1">
        <v>0</v>
      </c>
      <c r="J15" s="1">
        <v>0</v>
      </c>
      <c r="K15" s="1">
        <v>0</v>
      </c>
      <c r="L15" s="1">
        <v>175044.73135073457</v>
      </c>
      <c r="M15" s="1">
        <v>85016.91216216216</v>
      </c>
      <c r="N15" s="2">
        <f t="shared" si="0"/>
        <v>293712.84674802679</v>
      </c>
    </row>
    <row r="16" spans="1:14" ht="23" hidden="1" customHeight="1">
      <c r="A16" s="8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>
        <f t="shared" si="0"/>
        <v>0</v>
      </c>
    </row>
    <row r="17" spans="1:14" ht="23" hidden="1" customHeight="1">
      <c r="A17" s="8" t="s">
        <v>23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2">
        <f t="shared" si="0"/>
        <v>0</v>
      </c>
    </row>
    <row r="18" spans="1:14" ht="23" hidden="1" customHeight="1">
      <c r="A18" s="8" t="s">
        <v>24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 t="shared" si="0"/>
        <v>0</v>
      </c>
    </row>
    <row r="19" spans="1:14" ht="23" customHeight="1">
      <c r="A19" s="8" t="s">
        <v>16</v>
      </c>
      <c r="B19" s="1">
        <v>0</v>
      </c>
      <c r="C19" s="1">
        <v>0</v>
      </c>
      <c r="D19" s="1">
        <v>0</v>
      </c>
      <c r="E19" s="1">
        <v>8019</v>
      </c>
      <c r="F19" s="1">
        <v>0</v>
      </c>
      <c r="G19" s="1">
        <v>17091.891891891893</v>
      </c>
      <c r="H19" s="1">
        <v>0</v>
      </c>
      <c r="I19" s="1">
        <v>0</v>
      </c>
      <c r="J19" s="1">
        <v>0</v>
      </c>
      <c r="K19" s="1">
        <v>0</v>
      </c>
      <c r="L19" s="1">
        <v>307215.73875753919</v>
      </c>
      <c r="M19" s="1">
        <v>0</v>
      </c>
      <c r="N19" s="2">
        <f t="shared" si="0"/>
        <v>332326.63064943108</v>
      </c>
    </row>
    <row r="20" spans="1:14" ht="23" hidden="1" customHeight="1">
      <c r="A20" s="8" t="s">
        <v>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 t="shared" si="0"/>
        <v>0</v>
      </c>
    </row>
    <row r="21" spans="1:14" ht="23" customHeight="1">
      <c r="A21" s="8" t="s">
        <v>12</v>
      </c>
      <c r="B21" s="1">
        <v>0</v>
      </c>
      <c r="C21" s="1">
        <v>0</v>
      </c>
      <c r="D21" s="1">
        <v>0</v>
      </c>
      <c r="E21" s="1">
        <v>8019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107750.15537240537</v>
      </c>
      <c r="M21" s="1">
        <v>138928.05736842105</v>
      </c>
      <c r="N21" s="2">
        <f t="shared" si="0"/>
        <v>254697.21274082642</v>
      </c>
    </row>
    <row r="22" spans="1:14" ht="23" customHeight="1">
      <c r="A22" s="8" t="s">
        <v>8</v>
      </c>
      <c r="B22" s="1">
        <v>0</v>
      </c>
      <c r="C22" s="1">
        <v>0</v>
      </c>
      <c r="D22" s="1">
        <v>0</v>
      </c>
      <c r="E22" s="1">
        <v>8019</v>
      </c>
      <c r="F22" s="1">
        <v>424979.49802169035</v>
      </c>
      <c r="G22" s="1">
        <v>46767.193347193344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2">
        <f t="shared" si="0"/>
        <v>479765.69136888371</v>
      </c>
    </row>
    <row r="23" spans="1:14" ht="23" customHeight="1">
      <c r="A23" s="8" t="s">
        <v>14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43332.600565610861</v>
      </c>
      <c r="M23" s="1">
        <v>0</v>
      </c>
      <c r="N23" s="2">
        <f t="shared" si="0"/>
        <v>43332.600565610861</v>
      </c>
    </row>
    <row r="24" spans="1:14" ht="23" customHeight="1">
      <c r="A24" s="8" t="s">
        <v>15</v>
      </c>
      <c r="B24" s="1">
        <v>0</v>
      </c>
      <c r="C24" s="1">
        <v>0</v>
      </c>
      <c r="D24" s="1">
        <v>0</v>
      </c>
      <c r="E24" s="1">
        <v>258623.77995879122</v>
      </c>
      <c r="F24" s="1">
        <v>0</v>
      </c>
      <c r="G24" s="1">
        <v>43870.555245677198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302494.3352044684</v>
      </c>
    </row>
    <row r="25" spans="1:14" ht="23" customHeight="1">
      <c r="A25" s="8" t="s">
        <v>13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54852.275142586914</v>
      </c>
      <c r="M25" s="1">
        <v>0</v>
      </c>
      <c r="N25" s="2">
        <f t="shared" si="0"/>
        <v>54852.275142586914</v>
      </c>
    </row>
    <row r="26" spans="1:14" ht="23" hidden="1" customHeight="1">
      <c r="A26" s="8" t="s">
        <v>51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2">
        <f t="shared" si="0"/>
        <v>0</v>
      </c>
    </row>
    <row r="27" spans="1:14" ht="23" customHeight="1">
      <c r="A27" s="8" t="s">
        <v>7</v>
      </c>
      <c r="B27" s="1">
        <v>0</v>
      </c>
      <c r="C27" s="1">
        <v>0</v>
      </c>
      <c r="D27" s="1">
        <v>0</v>
      </c>
      <c r="E27" s="1">
        <v>303197.39271255059</v>
      </c>
      <c r="F27" s="1">
        <v>0</v>
      </c>
      <c r="G27" s="1">
        <v>39770.769230769234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2">
        <f t="shared" si="0"/>
        <v>342968.16194331984</v>
      </c>
    </row>
    <row r="28" spans="1:14" ht="23" hidden="1" customHeight="1">
      <c r="A28" s="8" t="s">
        <v>21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2">
        <f t="shared" si="0"/>
        <v>0</v>
      </c>
    </row>
    <row r="29" spans="1:14" ht="23" customHeight="1">
      <c r="A29" s="8" t="s">
        <v>5</v>
      </c>
      <c r="B29" s="1">
        <v>0</v>
      </c>
      <c r="C29" s="1">
        <v>933238.37999999989</v>
      </c>
      <c r="D29" s="1">
        <v>0</v>
      </c>
      <c r="E29" s="1">
        <v>88157.627866300361</v>
      </c>
      <c r="F29" s="1">
        <v>8786.5273170731689</v>
      </c>
      <c r="G29" s="1">
        <v>145878.50371040724</v>
      </c>
      <c r="H29" s="1">
        <v>0</v>
      </c>
      <c r="I29" s="1">
        <v>0</v>
      </c>
      <c r="J29" s="1">
        <v>19800</v>
      </c>
      <c r="K29" s="1">
        <v>0</v>
      </c>
      <c r="L29" s="1">
        <v>0</v>
      </c>
      <c r="M29" s="1">
        <v>0</v>
      </c>
      <c r="N29" s="2">
        <f t="shared" si="0"/>
        <v>1195861.0388937807</v>
      </c>
    </row>
    <row r="30" spans="1:14" ht="23" hidden="1" customHeight="1">
      <c r="A30" s="8" t="s">
        <v>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0</v>
      </c>
    </row>
    <row r="31" spans="1:14" ht="23" customHeight="1">
      <c r="A31" s="8" t="s">
        <v>18</v>
      </c>
      <c r="B31" s="1">
        <v>0</v>
      </c>
      <c r="C31" s="1">
        <v>0</v>
      </c>
      <c r="D31" s="1">
        <v>12319.5</v>
      </c>
      <c r="E31" s="1">
        <v>5346</v>
      </c>
      <c r="F31" s="1">
        <v>0</v>
      </c>
      <c r="G31" s="1">
        <v>0</v>
      </c>
      <c r="H31" s="1">
        <v>0</v>
      </c>
      <c r="I31" s="1">
        <v>0</v>
      </c>
      <c r="J31" s="1">
        <v>63075.148750000008</v>
      </c>
      <c r="K31" s="1">
        <v>510021.8</v>
      </c>
      <c r="L31" s="1">
        <v>0</v>
      </c>
      <c r="M31" s="1">
        <v>0</v>
      </c>
      <c r="N31" s="2">
        <f t="shared" si="0"/>
        <v>590762.44874999998</v>
      </c>
    </row>
    <row r="32" spans="1:14" ht="23" customHeight="1">
      <c r="A32" s="8" t="s">
        <v>2</v>
      </c>
      <c r="B32" s="1">
        <v>0</v>
      </c>
      <c r="C32" s="1">
        <v>0</v>
      </c>
      <c r="D32" s="1">
        <v>0</v>
      </c>
      <c r="E32" s="1">
        <v>2215.7894736842104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0"/>
        <v>2215.7894736842104</v>
      </c>
    </row>
    <row r="33" spans="1:14" ht="23" hidden="1" customHeight="1">
      <c r="A33" s="8" t="s">
        <v>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2">
        <f t="shared" si="0"/>
        <v>0</v>
      </c>
    </row>
    <row r="34" spans="1:14" ht="23" customHeight="1">
      <c r="A34" s="8" t="s">
        <v>9</v>
      </c>
      <c r="B34" s="1">
        <v>0</v>
      </c>
      <c r="C34" s="1">
        <v>0</v>
      </c>
      <c r="D34" s="1">
        <v>0</v>
      </c>
      <c r="E34" s="1">
        <v>2673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2">
        <f t="shared" si="0"/>
        <v>2673</v>
      </c>
    </row>
    <row r="35" spans="1:14" ht="23" hidden="1" customHeight="1">
      <c r="A35" s="8" t="s">
        <v>10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2">
        <f t="shared" si="0"/>
        <v>0</v>
      </c>
    </row>
    <row r="36" spans="1:14" ht="23" customHeight="1">
      <c r="A36" s="8" t="s">
        <v>17</v>
      </c>
      <c r="B36" s="1">
        <v>0</v>
      </c>
      <c r="C36" s="1">
        <v>0</v>
      </c>
      <c r="D36" s="1">
        <v>0</v>
      </c>
      <c r="E36" s="1">
        <v>2673</v>
      </c>
      <c r="F36" s="1">
        <v>0</v>
      </c>
      <c r="G36" s="1">
        <v>8313.8461538461543</v>
      </c>
      <c r="H36" s="1">
        <v>0</v>
      </c>
      <c r="I36" s="1">
        <v>0</v>
      </c>
      <c r="J36" s="1">
        <v>0</v>
      </c>
      <c r="K36" s="1">
        <v>0</v>
      </c>
      <c r="L36" s="1">
        <v>23986.25</v>
      </c>
      <c r="M36" s="1">
        <v>0</v>
      </c>
      <c r="N36" s="2">
        <f t="shared" si="0"/>
        <v>34973.096153846156</v>
      </c>
    </row>
    <row r="37" spans="1:14" ht="23" hidden="1" customHeight="1">
      <c r="A37" s="8" t="s">
        <v>11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2">
        <f t="shared" si="0"/>
        <v>0</v>
      </c>
    </row>
    <row r="38" spans="1:14" ht="23" customHeight="1">
      <c r="A38" s="8" t="s">
        <v>19</v>
      </c>
      <c r="B38" s="1">
        <v>0</v>
      </c>
      <c r="C38" s="1">
        <v>0</v>
      </c>
      <c r="D38" s="1">
        <v>0</v>
      </c>
      <c r="E38" s="1">
        <v>79515.794871794875</v>
      </c>
      <c r="F38" s="1">
        <v>56139.48717948718</v>
      </c>
      <c r="G38" s="1">
        <v>0</v>
      </c>
      <c r="H38" s="1">
        <v>0</v>
      </c>
      <c r="I38" s="1">
        <v>199859.68</v>
      </c>
      <c r="J38" s="1">
        <v>24914.201249999998</v>
      </c>
      <c r="K38" s="1">
        <v>0</v>
      </c>
      <c r="L38" s="1">
        <v>85721.093110843038</v>
      </c>
      <c r="M38" s="1">
        <v>25300.847226173541</v>
      </c>
      <c r="N38" s="2">
        <f t="shared" si="0"/>
        <v>471451.10363829863</v>
      </c>
    </row>
    <row r="39" spans="1:14" ht="23" customHeight="1">
      <c r="A39" s="8" t="s">
        <v>0</v>
      </c>
      <c r="B39" s="1">
        <v>0</v>
      </c>
      <c r="C39" s="1">
        <v>0</v>
      </c>
      <c r="D39" s="1">
        <v>122510.5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2">
        <f t="shared" si="0"/>
        <v>122510.5</v>
      </c>
    </row>
    <row r="40" spans="1:14" ht="23" customHeight="1">
      <c r="A40" s="8" t="s">
        <v>22</v>
      </c>
      <c r="B40" s="1">
        <v>66158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 t="shared" si="0"/>
        <v>66158</v>
      </c>
    </row>
    <row r="41" spans="1:14" ht="23" customHeight="1">
      <c r="A41" s="8" t="s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410597.56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2">
        <f t="shared" si="0"/>
        <v>410597.56</v>
      </c>
    </row>
    <row r="42" spans="1:14" ht="23" customHeight="1" thickBot="1">
      <c r="B42" s="3">
        <f>SUM(B3:B41)</f>
        <v>66158</v>
      </c>
      <c r="C42" s="3">
        <f t="shared" ref="C42:N42" si="1">SUM(C3:C41)</f>
        <v>933238.37999999989</v>
      </c>
      <c r="D42" s="3">
        <f t="shared" si="1"/>
        <v>134830</v>
      </c>
      <c r="E42" s="3">
        <f t="shared" si="1"/>
        <v>971554.61</v>
      </c>
      <c r="F42" s="3">
        <f t="shared" si="1"/>
        <v>756300.09</v>
      </c>
      <c r="G42" s="3">
        <f t="shared" si="1"/>
        <v>403246.81999999995</v>
      </c>
      <c r="H42" s="3">
        <f t="shared" si="1"/>
        <v>410597.56</v>
      </c>
      <c r="I42" s="3">
        <f t="shared" si="1"/>
        <v>199859.68</v>
      </c>
      <c r="J42" s="3">
        <f t="shared" si="1"/>
        <v>107789.35</v>
      </c>
      <c r="K42" s="3">
        <f t="shared" si="1"/>
        <v>510021.8</v>
      </c>
      <c r="L42" s="3">
        <f t="shared" si="1"/>
        <v>919231.12000000011</v>
      </c>
      <c r="M42" s="3">
        <f t="shared" si="1"/>
        <v>311520.15999999997</v>
      </c>
      <c r="N42" s="3">
        <f t="shared" si="1"/>
        <v>5724347.5699999994</v>
      </c>
    </row>
    <row r="43" spans="1:14" ht="17" thickTop="1"/>
  </sheetData>
  <autoFilter ref="A2:N42" xr:uid="{300E46F5-966A-4C40-8146-1E8B017BF719}">
    <filterColumn colId="13">
      <filters>
        <filter val="1,195,861.04"/>
        <filter val="103,883.23"/>
        <filter val="106,046.05"/>
        <filter val="114,399.81"/>
        <filter val="118,609.11"/>
        <filter val="122,510.50"/>
        <filter val="169,307.73"/>
        <filter val="2,215.79"/>
        <filter val="2,673.00"/>
        <filter val="21,708.72"/>
        <filter val="254,697.21"/>
        <filter val="293,712.85"/>
        <filter val="302,494.34"/>
        <filter val="332,326.63"/>
        <filter val="34,973.10"/>
        <filter val="342,968.16"/>
        <filter val="410,597.56"/>
        <filter val="43,332.60"/>
        <filter val="471,451.10"/>
        <filter val="479,765.69"/>
        <filter val="5,724,347.57"/>
        <filter val="54,852.28"/>
        <filter val="590,762.45"/>
        <filter val="6,539.63"/>
        <filter val="66,158.00"/>
        <filter val="82,501.00"/>
      </filters>
    </filterColumn>
  </autoFilter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4EC6-82C5-0047-977C-691B5631E24E}">
  <sheetPr filterMode="1">
    <tabColor rgb="FFFFFC00"/>
  </sheetPr>
  <dimension ref="A1:N43"/>
  <sheetViews>
    <sheetView zoomScale="90" zoomScaleNormal="90" workbookViewId="0"/>
  </sheetViews>
  <sheetFormatPr baseColWidth="10" defaultRowHeight="16"/>
  <cols>
    <col min="1" max="1" width="24.7109375" customWidth="1"/>
    <col min="2" max="14" width="16.7109375" customWidth="1"/>
  </cols>
  <sheetData>
    <row r="1" spans="1:14" ht="37" customHeight="1">
      <c r="A1" s="4">
        <v>46113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4" ht="84">
      <c r="A2" s="7" t="s">
        <v>25</v>
      </c>
      <c r="B2" s="5" t="s">
        <v>32</v>
      </c>
      <c r="C2" s="5" t="s">
        <v>36</v>
      </c>
      <c r="D2" s="5" t="s">
        <v>33</v>
      </c>
      <c r="E2" s="5" t="s">
        <v>44</v>
      </c>
      <c r="F2" s="5" t="s">
        <v>37</v>
      </c>
      <c r="G2" s="5" t="s">
        <v>34</v>
      </c>
      <c r="H2" s="5" t="s">
        <v>1</v>
      </c>
      <c r="I2" s="5" t="s">
        <v>35</v>
      </c>
      <c r="J2" s="5" t="s">
        <v>38</v>
      </c>
      <c r="K2" s="5" t="s">
        <v>45</v>
      </c>
      <c r="L2" s="5" t="s">
        <v>46</v>
      </c>
      <c r="M2" s="5" t="s">
        <v>57</v>
      </c>
      <c r="N2" s="5" t="s">
        <v>20</v>
      </c>
    </row>
    <row r="3" spans="1:14" ht="23" customHeight="1">
      <c r="A3" s="8" t="s">
        <v>50</v>
      </c>
      <c r="B3" s="1">
        <v>0</v>
      </c>
      <c r="C3" s="1">
        <v>0</v>
      </c>
      <c r="D3" s="1">
        <v>0</v>
      </c>
      <c r="E3" s="1">
        <v>2673</v>
      </c>
      <c r="F3" s="1">
        <v>78651.06821106821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">
        <f>SUM(B3:M3)</f>
        <v>81324.06821106821</v>
      </c>
    </row>
    <row r="4" spans="1:14" ht="23" hidden="1" customHeight="1">
      <c r="A4" s="8" t="s">
        <v>43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2">
        <f t="shared" ref="N4:N41" si="0">SUM(B4:M4)</f>
        <v>0</v>
      </c>
    </row>
    <row r="5" spans="1:14" ht="23" hidden="1" customHeight="1">
      <c r="A5" s="8" t="s">
        <v>42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>
        <f t="shared" si="0"/>
        <v>0</v>
      </c>
    </row>
    <row r="6" spans="1:14" ht="23" customHeight="1">
      <c r="A6" s="8" t="s">
        <v>41</v>
      </c>
      <c r="B6" s="1">
        <v>0</v>
      </c>
      <c r="C6" s="1">
        <v>0</v>
      </c>
      <c r="D6" s="1">
        <v>0</v>
      </c>
      <c r="E6" s="1">
        <v>2673</v>
      </c>
      <c r="F6" s="1">
        <v>57926.450264070692</v>
      </c>
      <c r="G6" s="1">
        <v>4889.3531198686369</v>
      </c>
      <c r="H6" s="1">
        <v>0</v>
      </c>
      <c r="I6" s="1">
        <v>0</v>
      </c>
      <c r="J6" s="1">
        <v>0</v>
      </c>
      <c r="K6" s="1">
        <v>0</v>
      </c>
      <c r="L6" s="1">
        <v>20815.384615384613</v>
      </c>
      <c r="M6" s="1">
        <v>0</v>
      </c>
      <c r="N6" s="2">
        <f t="shared" si="0"/>
        <v>86304.187999323942</v>
      </c>
    </row>
    <row r="7" spans="1:14" ht="23" customHeight="1">
      <c r="A7" s="8" t="s">
        <v>40</v>
      </c>
      <c r="B7" s="1">
        <v>0</v>
      </c>
      <c r="C7" s="1">
        <v>0</v>
      </c>
      <c r="D7" s="1">
        <v>0</v>
      </c>
      <c r="E7" s="1">
        <v>2673</v>
      </c>
      <c r="F7" s="1">
        <v>104399.14868404118</v>
      </c>
      <c r="G7" s="1">
        <v>8219.097085385878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f t="shared" si="0"/>
        <v>115291.24576942706</v>
      </c>
    </row>
    <row r="8" spans="1:14" ht="23" customHeight="1">
      <c r="A8" s="8" t="s">
        <v>47</v>
      </c>
      <c r="B8" s="1">
        <v>0</v>
      </c>
      <c r="C8" s="1">
        <v>0</v>
      </c>
      <c r="D8" s="1">
        <v>0</v>
      </c>
      <c r="E8" s="1">
        <v>50248.7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f t="shared" si="0"/>
        <v>50248.7</v>
      </c>
    </row>
    <row r="9" spans="1:14" ht="23" customHeight="1">
      <c r="A9" s="8" t="s">
        <v>27</v>
      </c>
      <c r="B9" s="1">
        <v>0</v>
      </c>
      <c r="C9" s="1">
        <v>0</v>
      </c>
      <c r="D9" s="1">
        <v>0</v>
      </c>
      <c r="E9" s="1">
        <v>2673</v>
      </c>
      <c r="F9" s="1">
        <v>0</v>
      </c>
      <c r="G9" s="1">
        <v>36912.777777777781</v>
      </c>
      <c r="H9" s="1">
        <v>0</v>
      </c>
      <c r="I9" s="1">
        <v>0</v>
      </c>
      <c r="J9" s="1">
        <v>0</v>
      </c>
      <c r="K9" s="1">
        <v>0</v>
      </c>
      <c r="L9" s="1">
        <v>64029.832101387889</v>
      </c>
      <c r="M9" s="1">
        <v>29275</v>
      </c>
      <c r="N9" s="2">
        <f t="shared" si="0"/>
        <v>132890.60987916566</v>
      </c>
    </row>
    <row r="10" spans="1:14" ht="23" customHeight="1">
      <c r="A10" s="8" t="s">
        <v>28</v>
      </c>
      <c r="B10" s="1">
        <v>0</v>
      </c>
      <c r="C10" s="1">
        <v>0</v>
      </c>
      <c r="D10" s="1">
        <v>0</v>
      </c>
      <c r="E10" s="1">
        <v>97946</v>
      </c>
      <c r="F10" s="1">
        <v>0</v>
      </c>
      <c r="G10" s="1">
        <v>1412.5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99358.5</v>
      </c>
    </row>
    <row r="11" spans="1:14" ht="23" customHeight="1">
      <c r="A11" s="8" t="s">
        <v>29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10311.121621621622</v>
      </c>
      <c r="N11" s="2">
        <f t="shared" si="0"/>
        <v>10311.121621621622</v>
      </c>
    </row>
    <row r="12" spans="1:14" ht="23" customHeight="1">
      <c r="A12" s="8" t="s">
        <v>30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8867.25</v>
      </c>
      <c r="M12" s="1">
        <v>20372.700450450451</v>
      </c>
      <c r="N12" s="2">
        <f t="shared" si="0"/>
        <v>29239.950450450451</v>
      </c>
    </row>
    <row r="13" spans="1:14" ht="23" hidden="1" customHeight="1">
      <c r="A13" s="8" t="s">
        <v>48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>
        <f t="shared" si="0"/>
        <v>0</v>
      </c>
    </row>
    <row r="14" spans="1:14" ht="23" hidden="1" customHeight="1">
      <c r="A14" s="8" t="s">
        <v>49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f t="shared" si="0"/>
        <v>0</v>
      </c>
    </row>
    <row r="15" spans="1:14" ht="23" customHeight="1">
      <c r="A15" s="8" t="s">
        <v>31</v>
      </c>
      <c r="B15" s="1">
        <v>0</v>
      </c>
      <c r="C15" s="1">
        <v>0</v>
      </c>
      <c r="D15" s="1">
        <v>0</v>
      </c>
      <c r="E15" s="1">
        <v>8019</v>
      </c>
      <c r="F15" s="1">
        <v>0</v>
      </c>
      <c r="G15" s="1">
        <v>27772.380952380954</v>
      </c>
      <c r="H15" s="1">
        <v>0</v>
      </c>
      <c r="I15" s="1">
        <v>0</v>
      </c>
      <c r="J15" s="1">
        <v>0</v>
      </c>
      <c r="K15" s="1">
        <v>0</v>
      </c>
      <c r="L15" s="1">
        <v>187428.48747344044</v>
      </c>
      <c r="M15" s="1">
        <v>80255.981884057968</v>
      </c>
      <c r="N15" s="2">
        <f t="shared" si="0"/>
        <v>303475.85030987934</v>
      </c>
    </row>
    <row r="16" spans="1:14" ht="23" hidden="1" customHeight="1">
      <c r="A16" s="8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>
        <f t="shared" si="0"/>
        <v>0</v>
      </c>
    </row>
    <row r="17" spans="1:14" ht="23" hidden="1" customHeight="1">
      <c r="A17" s="8" t="s">
        <v>23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2">
        <f t="shared" si="0"/>
        <v>0</v>
      </c>
    </row>
    <row r="18" spans="1:14" ht="23" hidden="1" customHeight="1">
      <c r="A18" s="8" t="s">
        <v>24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>
        <f t="shared" si="0"/>
        <v>0</v>
      </c>
    </row>
    <row r="19" spans="1:14" ht="23" customHeight="1">
      <c r="A19" s="8" t="s">
        <v>16</v>
      </c>
      <c r="B19" s="1">
        <v>0</v>
      </c>
      <c r="C19" s="1">
        <v>0</v>
      </c>
      <c r="D19" s="1">
        <v>0</v>
      </c>
      <c r="E19" s="1">
        <v>8019</v>
      </c>
      <c r="F19" s="1">
        <v>0</v>
      </c>
      <c r="G19" s="1">
        <v>11659.722222222223</v>
      </c>
      <c r="H19" s="1">
        <v>0</v>
      </c>
      <c r="I19" s="1">
        <v>0</v>
      </c>
      <c r="J19" s="1">
        <v>0</v>
      </c>
      <c r="K19" s="1">
        <v>0</v>
      </c>
      <c r="L19" s="1">
        <v>268356.88996767043</v>
      </c>
      <c r="M19" s="1">
        <v>0</v>
      </c>
      <c r="N19" s="2">
        <f t="shared" si="0"/>
        <v>288035.61218989268</v>
      </c>
    </row>
    <row r="20" spans="1:14" ht="23" hidden="1" customHeight="1">
      <c r="A20" s="8" t="s">
        <v>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 t="shared" si="0"/>
        <v>0</v>
      </c>
    </row>
    <row r="21" spans="1:14" ht="23" customHeight="1">
      <c r="A21" s="8" t="s">
        <v>12</v>
      </c>
      <c r="B21" s="1">
        <v>0</v>
      </c>
      <c r="C21" s="1">
        <v>0</v>
      </c>
      <c r="D21" s="1">
        <v>0</v>
      </c>
      <c r="E21" s="1">
        <v>8019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165875.7621855608</v>
      </c>
      <c r="M21" s="1">
        <v>115520.02373478744</v>
      </c>
      <c r="N21" s="2">
        <f t="shared" si="0"/>
        <v>289414.78592034825</v>
      </c>
    </row>
    <row r="22" spans="1:14" ht="23" customHeight="1">
      <c r="A22" s="8" t="s">
        <v>8</v>
      </c>
      <c r="B22" s="1">
        <v>0</v>
      </c>
      <c r="C22" s="1">
        <v>0</v>
      </c>
      <c r="D22" s="1">
        <v>0</v>
      </c>
      <c r="E22" s="1">
        <v>8019</v>
      </c>
      <c r="F22" s="1">
        <v>334444.62507078506</v>
      </c>
      <c r="G22" s="1">
        <v>50613.101673101672</v>
      </c>
      <c r="H22" s="1">
        <v>0</v>
      </c>
      <c r="I22" s="1">
        <v>0</v>
      </c>
      <c r="J22" s="1">
        <v>0</v>
      </c>
      <c r="K22" s="1">
        <v>0</v>
      </c>
      <c r="L22" s="1">
        <v>24000.571428571428</v>
      </c>
      <c r="M22" s="1">
        <v>0</v>
      </c>
      <c r="N22" s="2">
        <f t="shared" si="0"/>
        <v>417077.29817245813</v>
      </c>
    </row>
    <row r="23" spans="1:14" ht="23" customHeight="1">
      <c r="A23" s="8" t="s">
        <v>14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57844.147155764091</v>
      </c>
      <c r="M23" s="1">
        <v>0</v>
      </c>
      <c r="N23" s="2">
        <f t="shared" si="0"/>
        <v>57844.147155764091</v>
      </c>
    </row>
    <row r="24" spans="1:14" ht="23" customHeight="1">
      <c r="A24" s="8" t="s">
        <v>15</v>
      </c>
      <c r="B24" s="1">
        <v>0</v>
      </c>
      <c r="C24" s="1">
        <v>0</v>
      </c>
      <c r="D24" s="1">
        <v>0</v>
      </c>
      <c r="E24" s="1">
        <v>209527.09523809524</v>
      </c>
      <c r="F24" s="1">
        <v>0</v>
      </c>
      <c r="G24" s="1">
        <v>53089.517374517374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262616.6126126126</v>
      </c>
    </row>
    <row r="25" spans="1:14" ht="23" customHeight="1">
      <c r="A25" s="8" t="s">
        <v>13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72066.713695904662</v>
      </c>
      <c r="M25" s="1">
        <v>0</v>
      </c>
      <c r="N25" s="2">
        <f t="shared" si="0"/>
        <v>72066.713695904662</v>
      </c>
    </row>
    <row r="26" spans="1:14" ht="23" hidden="1" customHeight="1">
      <c r="A26" s="8" t="s">
        <v>51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2">
        <f t="shared" si="0"/>
        <v>0</v>
      </c>
    </row>
    <row r="27" spans="1:14" ht="23" customHeight="1">
      <c r="A27" s="8" t="s">
        <v>7</v>
      </c>
      <c r="B27" s="1">
        <v>0</v>
      </c>
      <c r="C27" s="1">
        <v>0</v>
      </c>
      <c r="D27" s="1">
        <v>0</v>
      </c>
      <c r="E27" s="1">
        <v>257945.03090225565</v>
      </c>
      <c r="F27" s="1">
        <v>0</v>
      </c>
      <c r="G27" s="1">
        <v>36643.333333333328</v>
      </c>
      <c r="H27" s="1">
        <v>0</v>
      </c>
      <c r="I27" s="1">
        <v>8298</v>
      </c>
      <c r="J27" s="1">
        <v>0</v>
      </c>
      <c r="K27" s="1">
        <v>0</v>
      </c>
      <c r="L27" s="1">
        <v>0</v>
      </c>
      <c r="M27" s="1">
        <v>0</v>
      </c>
      <c r="N27" s="2">
        <f t="shared" si="0"/>
        <v>302886.36423558899</v>
      </c>
    </row>
    <row r="28" spans="1:14" ht="23" hidden="1" customHeight="1">
      <c r="A28" s="8" t="s">
        <v>21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2">
        <f t="shared" si="0"/>
        <v>0</v>
      </c>
    </row>
    <row r="29" spans="1:14" ht="23" customHeight="1">
      <c r="A29" s="8" t="s">
        <v>5</v>
      </c>
      <c r="B29" s="1">
        <v>0</v>
      </c>
      <c r="C29" s="1">
        <v>731060.1399999999</v>
      </c>
      <c r="D29" s="1">
        <v>0</v>
      </c>
      <c r="E29" s="1">
        <v>187990.70243107766</v>
      </c>
      <c r="F29" s="1">
        <v>30624.146341463416</v>
      </c>
      <c r="G29" s="1">
        <v>128543.62265188835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2">
        <f t="shared" si="0"/>
        <v>1078218.6114244293</v>
      </c>
    </row>
    <row r="30" spans="1:14" ht="23" hidden="1" customHeight="1">
      <c r="A30" s="8" t="s">
        <v>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0</v>
      </c>
    </row>
    <row r="31" spans="1:14" ht="23" customHeight="1">
      <c r="A31" s="8" t="s">
        <v>18</v>
      </c>
      <c r="B31" s="1">
        <v>0</v>
      </c>
      <c r="C31" s="1">
        <v>0</v>
      </c>
      <c r="D31" s="1">
        <v>12319.5</v>
      </c>
      <c r="E31" s="1">
        <v>5346</v>
      </c>
      <c r="F31" s="1">
        <v>0</v>
      </c>
      <c r="G31" s="1">
        <v>0</v>
      </c>
      <c r="H31" s="1">
        <v>0</v>
      </c>
      <c r="I31" s="1">
        <v>0</v>
      </c>
      <c r="J31" s="1">
        <v>67793.489999999991</v>
      </c>
      <c r="K31" s="1">
        <v>522727.4</v>
      </c>
      <c r="L31" s="1">
        <v>0</v>
      </c>
      <c r="M31" s="1">
        <v>0</v>
      </c>
      <c r="N31" s="2">
        <f t="shared" si="0"/>
        <v>608186.39</v>
      </c>
    </row>
    <row r="32" spans="1:14" ht="23" hidden="1" customHeight="1">
      <c r="A32" s="8" t="s">
        <v>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0"/>
        <v>0</v>
      </c>
    </row>
    <row r="33" spans="1:14" ht="23" hidden="1" customHeight="1">
      <c r="A33" s="8" t="s">
        <v>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2">
        <f t="shared" si="0"/>
        <v>0</v>
      </c>
    </row>
    <row r="34" spans="1:14" ht="23" customHeight="1">
      <c r="A34" s="8" t="s">
        <v>9</v>
      </c>
      <c r="B34" s="1">
        <v>0</v>
      </c>
      <c r="C34" s="1">
        <v>0</v>
      </c>
      <c r="D34" s="1">
        <v>0</v>
      </c>
      <c r="E34" s="1">
        <v>2673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2">
        <f t="shared" si="0"/>
        <v>2673</v>
      </c>
    </row>
    <row r="35" spans="1:14" ht="23" hidden="1" customHeight="1">
      <c r="A35" s="8" t="s">
        <v>10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2">
        <f t="shared" si="0"/>
        <v>0</v>
      </c>
    </row>
    <row r="36" spans="1:14" ht="23" customHeight="1">
      <c r="A36" s="8" t="s">
        <v>17</v>
      </c>
      <c r="B36" s="1">
        <v>0</v>
      </c>
      <c r="C36" s="1">
        <v>0</v>
      </c>
      <c r="D36" s="1">
        <v>0</v>
      </c>
      <c r="E36" s="1">
        <v>2673</v>
      </c>
      <c r="F36" s="1">
        <v>0</v>
      </c>
      <c r="G36" s="1">
        <v>2669.5238095238092</v>
      </c>
      <c r="H36" s="1">
        <v>0</v>
      </c>
      <c r="I36" s="1">
        <v>0</v>
      </c>
      <c r="J36" s="1">
        <v>0</v>
      </c>
      <c r="K36" s="1">
        <v>0</v>
      </c>
      <c r="L36" s="1">
        <v>36256.08491048593</v>
      </c>
      <c r="M36" s="1">
        <v>0</v>
      </c>
      <c r="N36" s="2">
        <f t="shared" si="0"/>
        <v>41598.608720009739</v>
      </c>
    </row>
    <row r="37" spans="1:14" ht="23" hidden="1" customHeight="1">
      <c r="A37" s="8" t="s">
        <v>11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2">
        <f t="shared" si="0"/>
        <v>0</v>
      </c>
    </row>
    <row r="38" spans="1:14" ht="23" customHeight="1">
      <c r="A38" s="8" t="s">
        <v>19</v>
      </c>
      <c r="B38" s="1">
        <v>0</v>
      </c>
      <c r="C38" s="1">
        <v>0</v>
      </c>
      <c r="D38" s="1">
        <v>0</v>
      </c>
      <c r="E38" s="1">
        <v>85822.57142857142</v>
      </c>
      <c r="F38" s="1">
        <v>56868.571428571428</v>
      </c>
      <c r="G38" s="1">
        <v>0</v>
      </c>
      <c r="H38" s="1">
        <v>0</v>
      </c>
      <c r="I38" s="1">
        <v>90852</v>
      </c>
      <c r="J38" s="1">
        <v>39600</v>
      </c>
      <c r="K38" s="1">
        <v>0</v>
      </c>
      <c r="L38" s="1">
        <v>140758.08646582969</v>
      </c>
      <c r="M38" s="1">
        <v>28373.502309082538</v>
      </c>
      <c r="N38" s="2">
        <f t="shared" si="0"/>
        <v>442274.73163205507</v>
      </c>
    </row>
    <row r="39" spans="1:14" ht="23" customHeight="1">
      <c r="A39" s="8" t="s">
        <v>0</v>
      </c>
      <c r="B39" s="1">
        <v>0</v>
      </c>
      <c r="C39" s="1">
        <v>0</v>
      </c>
      <c r="D39" s="1">
        <v>105177.17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2">
        <f t="shared" si="0"/>
        <v>105177.17</v>
      </c>
    </row>
    <row r="40" spans="1:14" ht="23" customHeight="1">
      <c r="A40" s="8" t="s">
        <v>22</v>
      </c>
      <c r="B40" s="1">
        <v>66158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2">
        <f t="shared" si="0"/>
        <v>66158</v>
      </c>
    </row>
    <row r="41" spans="1:14" ht="23" customHeight="1">
      <c r="A41" s="8" t="s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398182.25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2">
        <f t="shared" si="0"/>
        <v>398182.25</v>
      </c>
    </row>
    <row r="42" spans="1:14" ht="23" customHeight="1" thickBot="1">
      <c r="A42" s="8"/>
      <c r="B42" s="3">
        <f>SUM(B3:B41)</f>
        <v>66158</v>
      </c>
      <c r="C42" s="3">
        <f t="shared" ref="C42:M42" si="1">SUM(C3:C41)</f>
        <v>731060.1399999999</v>
      </c>
      <c r="D42" s="3">
        <f t="shared" si="1"/>
        <v>117496.67</v>
      </c>
      <c r="E42" s="3">
        <f t="shared" si="1"/>
        <v>942940.09999999986</v>
      </c>
      <c r="F42" s="3">
        <f t="shared" si="1"/>
        <v>662914.01</v>
      </c>
      <c r="G42" s="3">
        <f t="shared" si="1"/>
        <v>362424.93</v>
      </c>
      <c r="H42" s="3">
        <f t="shared" si="1"/>
        <v>398182.25</v>
      </c>
      <c r="I42" s="3">
        <f t="shared" si="1"/>
        <v>99150</v>
      </c>
      <c r="J42" s="3">
        <f t="shared" si="1"/>
        <v>107393.48999999999</v>
      </c>
      <c r="K42" s="3">
        <f t="shared" si="1"/>
        <v>522727.4</v>
      </c>
      <c r="L42" s="3">
        <f t="shared" si="1"/>
        <v>1046299.21</v>
      </c>
      <c r="M42" s="3">
        <f t="shared" si="1"/>
        <v>284108.33</v>
      </c>
      <c r="N42" s="3">
        <f>SUM(N3:N41)</f>
        <v>5340854.5299999993</v>
      </c>
    </row>
    <row r="43" spans="1:14" ht="17" thickTop="1"/>
  </sheetData>
  <autoFilter ref="A2:N42" xr:uid="{A8194EC6-82C5-0047-977C-691B5631E24E}">
    <filterColumn colId="13">
      <filters>
        <filter val="1,078,218.61"/>
        <filter val="10,311.12"/>
        <filter val="105,177.17"/>
        <filter val="115,291.25"/>
        <filter val="132,890.61"/>
        <filter val="2,673.00"/>
        <filter val="262,616.61"/>
        <filter val="288,035.61"/>
        <filter val="289,414.79"/>
        <filter val="29,239.95"/>
        <filter val="302,886.36"/>
        <filter val="303,475.85"/>
        <filter val="398,182.25"/>
        <filter val="41,598.61"/>
        <filter val="417,077.30"/>
        <filter val="442,274.73"/>
        <filter val="5,340,854.53"/>
        <filter val="50,248.70"/>
        <filter val="57,844.15"/>
        <filter val="608,186.39"/>
        <filter val="66,158.00"/>
        <filter val="72,066.71"/>
        <filter val="81,324.07"/>
        <filter val="86,304.19"/>
        <filter val="99,358.50"/>
      </filters>
    </filterColumn>
  </autoFilter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24DD-D166-9246-BA43-A8A16DE81A30}">
  <sheetPr filterMode="1">
    <tabColor rgb="FF73FDD6"/>
  </sheetPr>
  <dimension ref="A1:N41"/>
  <sheetViews>
    <sheetView zoomScale="90" zoomScaleNormal="90" workbookViewId="0"/>
  </sheetViews>
  <sheetFormatPr baseColWidth="10" defaultRowHeight="16"/>
  <cols>
    <col min="1" max="1" width="24.7109375" customWidth="1"/>
    <col min="2" max="12" width="16.7109375" style="10" customWidth="1"/>
    <col min="13" max="14" width="16.7109375" customWidth="1"/>
  </cols>
  <sheetData>
    <row r="1" spans="1:14" ht="37" customHeight="1">
      <c r="A1" s="4">
        <v>46082</v>
      </c>
    </row>
    <row r="2" spans="1:14" ht="84">
      <c r="A2" s="7" t="s">
        <v>25</v>
      </c>
      <c r="B2" s="5" t="s">
        <v>32</v>
      </c>
      <c r="C2" s="5" t="s">
        <v>36</v>
      </c>
      <c r="D2" s="5" t="s">
        <v>33</v>
      </c>
      <c r="E2" s="5" t="s">
        <v>44</v>
      </c>
      <c r="F2" s="5" t="s">
        <v>37</v>
      </c>
      <c r="G2" s="5" t="s">
        <v>34</v>
      </c>
      <c r="H2" s="5" t="s">
        <v>1</v>
      </c>
      <c r="I2" s="5" t="s">
        <v>35</v>
      </c>
      <c r="J2" s="5" t="s">
        <v>38</v>
      </c>
      <c r="K2" s="5" t="s">
        <v>45</v>
      </c>
      <c r="L2" s="5" t="s">
        <v>46</v>
      </c>
      <c r="M2" s="5" t="s">
        <v>56</v>
      </c>
      <c r="N2" s="5" t="s">
        <v>20</v>
      </c>
    </row>
    <row r="3" spans="1:14" ht="23" hidden="1" customHeight="1">
      <c r="A3" s="8" t="s">
        <v>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">
        <f>SUM(B3:M3)</f>
        <v>0</v>
      </c>
    </row>
    <row r="4" spans="1:14" ht="23" hidden="1" customHeight="1">
      <c r="A4" s="8" t="s">
        <v>42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2">
        <f t="shared" ref="N4:N39" si="0">SUM(B4:M4)</f>
        <v>0</v>
      </c>
    </row>
    <row r="5" spans="1:14" ht="23" customHeight="1">
      <c r="A5" s="8" t="s">
        <v>41</v>
      </c>
      <c r="B5" s="1">
        <v>0</v>
      </c>
      <c r="C5" s="1">
        <v>0</v>
      </c>
      <c r="D5" s="1">
        <v>0</v>
      </c>
      <c r="E5" s="1">
        <v>0</v>
      </c>
      <c r="F5" s="1">
        <v>57476.75424056378</v>
      </c>
      <c r="G5" s="1">
        <v>2242.4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>
        <f t="shared" si="0"/>
        <v>59719.154240563781</v>
      </c>
    </row>
    <row r="6" spans="1:14" ht="23" customHeight="1">
      <c r="A6" s="8" t="s">
        <v>40</v>
      </c>
      <c r="B6" s="1">
        <v>0</v>
      </c>
      <c r="C6" s="1">
        <v>0</v>
      </c>
      <c r="D6" s="1">
        <v>0</v>
      </c>
      <c r="E6" s="1">
        <v>0</v>
      </c>
      <c r="F6" s="1">
        <v>83827.566521739122</v>
      </c>
      <c r="G6" s="1">
        <v>3549.1567567567572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87376.723278495876</v>
      </c>
    </row>
    <row r="7" spans="1:14" ht="23" customHeight="1">
      <c r="A7" s="8" t="s">
        <v>47</v>
      </c>
      <c r="B7" s="1">
        <v>0</v>
      </c>
      <c r="C7" s="1">
        <v>0</v>
      </c>
      <c r="D7" s="1">
        <v>0</v>
      </c>
      <c r="E7" s="1">
        <v>30935.384389454211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f t="shared" si="0"/>
        <v>30935.384389454211</v>
      </c>
    </row>
    <row r="8" spans="1:14" ht="23" customHeight="1">
      <c r="A8" s="8" t="s">
        <v>27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25506.076595744678</v>
      </c>
      <c r="H8" s="1">
        <v>0</v>
      </c>
      <c r="I8" s="1">
        <v>0</v>
      </c>
      <c r="J8" s="1">
        <v>0</v>
      </c>
      <c r="K8" s="1">
        <v>0</v>
      </c>
      <c r="L8" s="1">
        <v>57706.925465838511</v>
      </c>
      <c r="M8" s="1">
        <v>30736.046511627908</v>
      </c>
      <c r="N8" s="2">
        <f t="shared" si="0"/>
        <v>113949.0485732111</v>
      </c>
    </row>
    <row r="9" spans="1:14" ht="23" customHeight="1">
      <c r="A9" s="8" t="s">
        <v>28</v>
      </c>
      <c r="B9" s="1">
        <v>0</v>
      </c>
      <c r="C9" s="1">
        <v>0</v>
      </c>
      <c r="D9" s="1">
        <v>0</v>
      </c>
      <c r="E9" s="1">
        <v>101699.57446808511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2">
        <f t="shared" si="0"/>
        <v>101699.57446808511</v>
      </c>
    </row>
    <row r="10" spans="1:14" ht="23" customHeight="1">
      <c r="A10" s="8" t="s">
        <v>29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17551.646203010681</v>
      </c>
      <c r="M10" s="1">
        <v>8189.4620829120322</v>
      </c>
      <c r="N10" s="2">
        <f t="shared" si="0"/>
        <v>25741.108285922714</v>
      </c>
    </row>
    <row r="11" spans="1:14" ht="23" customHeight="1">
      <c r="A11" s="8" t="s">
        <v>30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20905.135995955512</v>
      </c>
      <c r="N11" s="2">
        <f t="shared" si="0"/>
        <v>20905.135995955512</v>
      </c>
    </row>
    <row r="12" spans="1:14" ht="23" hidden="1" customHeight="1">
      <c r="A12" s="8" t="s">
        <v>48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2">
        <f t="shared" si="0"/>
        <v>0</v>
      </c>
    </row>
    <row r="13" spans="1:14" ht="23" hidden="1" customHeight="1">
      <c r="A13" s="8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>
        <f t="shared" si="0"/>
        <v>0</v>
      </c>
    </row>
    <row r="14" spans="1:14" ht="23" customHeight="1">
      <c r="A14" s="8" t="s">
        <v>31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28352.252417794967</v>
      </c>
      <c r="H14" s="1">
        <v>0</v>
      </c>
      <c r="I14" s="1">
        <v>0</v>
      </c>
      <c r="J14" s="1">
        <v>0</v>
      </c>
      <c r="K14" s="1">
        <v>0</v>
      </c>
      <c r="L14" s="1">
        <v>183296.38087395692</v>
      </c>
      <c r="M14" s="1">
        <v>80170.258973710821</v>
      </c>
      <c r="N14" s="2">
        <f t="shared" si="0"/>
        <v>291818.89226546272</v>
      </c>
    </row>
    <row r="15" spans="1:14" ht="23" customHeight="1">
      <c r="A15" s="8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2072.8636363636365</v>
      </c>
      <c r="M15" s="1">
        <v>0</v>
      </c>
      <c r="N15" s="2">
        <f t="shared" si="0"/>
        <v>2072.8636363636365</v>
      </c>
    </row>
    <row r="16" spans="1:14" ht="23" hidden="1" customHeight="1">
      <c r="A16" s="8" t="s">
        <v>23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>
        <f t="shared" si="0"/>
        <v>0</v>
      </c>
    </row>
    <row r="17" spans="1:14" ht="23" hidden="1" customHeight="1">
      <c r="A17" s="8" t="s">
        <v>24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2">
        <f t="shared" si="0"/>
        <v>0</v>
      </c>
    </row>
    <row r="18" spans="1:14" ht="23" customHeight="1">
      <c r="A18" s="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11248.428433268858</v>
      </c>
      <c r="H18" s="1">
        <v>0</v>
      </c>
      <c r="I18" s="1">
        <v>0</v>
      </c>
      <c r="J18" s="1">
        <v>0</v>
      </c>
      <c r="K18" s="1">
        <v>0</v>
      </c>
      <c r="L18" s="1">
        <v>250412.13456400795</v>
      </c>
      <c r="M18" s="1">
        <v>0</v>
      </c>
      <c r="N18" s="2">
        <f t="shared" si="0"/>
        <v>261660.56299727681</v>
      </c>
    </row>
    <row r="19" spans="1:14" ht="23" hidden="1" customHeight="1">
      <c r="A19" s="8" t="s">
        <v>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2">
        <f t="shared" si="0"/>
        <v>0</v>
      </c>
    </row>
    <row r="20" spans="1:14" ht="23" customHeight="1">
      <c r="A20" s="8" t="s">
        <v>12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143380.63326252767</v>
      </c>
      <c r="M20" s="1">
        <v>74843.096959410672</v>
      </c>
      <c r="N20" s="2">
        <f t="shared" si="0"/>
        <v>218223.73022193834</v>
      </c>
    </row>
    <row r="21" spans="1:14" ht="23" customHeight="1">
      <c r="A21" s="8" t="s">
        <v>8</v>
      </c>
      <c r="B21" s="1">
        <v>0</v>
      </c>
      <c r="C21" s="1">
        <v>0</v>
      </c>
      <c r="D21" s="1">
        <v>0</v>
      </c>
      <c r="E21" s="1">
        <v>2274.8936170212764</v>
      </c>
      <c r="F21" s="1">
        <v>322154.6939751553</v>
      </c>
      <c r="G21" s="1">
        <v>44366.622367703218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2">
        <f t="shared" si="0"/>
        <v>368796.20995987981</v>
      </c>
    </row>
    <row r="22" spans="1:14" ht="23" customHeight="1">
      <c r="A22" s="8" t="s">
        <v>14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58113.787878787873</v>
      </c>
      <c r="M22" s="1">
        <v>0</v>
      </c>
      <c r="N22" s="2">
        <f t="shared" si="0"/>
        <v>58113.787878787873</v>
      </c>
    </row>
    <row r="23" spans="1:14" ht="23" customHeight="1">
      <c r="A23" s="8" t="s">
        <v>15</v>
      </c>
      <c r="B23" s="1">
        <v>0</v>
      </c>
      <c r="C23" s="1">
        <v>0</v>
      </c>
      <c r="D23" s="1">
        <v>0</v>
      </c>
      <c r="E23" s="1">
        <v>197527.53808510638</v>
      </c>
      <c r="F23" s="1">
        <v>0</v>
      </c>
      <c r="G23" s="1">
        <v>66065.42018548827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2">
        <f t="shared" si="0"/>
        <v>263592.95827059465</v>
      </c>
    </row>
    <row r="24" spans="1:14" ht="23" customHeight="1">
      <c r="A24" s="8" t="s">
        <v>13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58885.58862876254</v>
      </c>
      <c r="M24" s="1">
        <v>0</v>
      </c>
      <c r="N24" s="2">
        <f t="shared" si="0"/>
        <v>58885.58862876254</v>
      </c>
    </row>
    <row r="25" spans="1:14" ht="23" customHeight="1">
      <c r="A25" s="8" t="s">
        <v>7</v>
      </c>
      <c r="B25" s="1">
        <v>0</v>
      </c>
      <c r="C25" s="1">
        <v>0</v>
      </c>
      <c r="D25" s="1">
        <v>0</v>
      </c>
      <c r="E25" s="1">
        <v>238602.24192456479</v>
      </c>
      <c r="F25" s="1">
        <v>0</v>
      </c>
      <c r="G25" s="1">
        <v>34027.199999999997</v>
      </c>
      <c r="H25" s="1">
        <v>0</v>
      </c>
      <c r="I25" s="1">
        <v>1571.5909090909092</v>
      </c>
      <c r="J25" s="1">
        <v>0</v>
      </c>
      <c r="K25" s="1">
        <v>0</v>
      </c>
      <c r="L25" s="1">
        <v>0</v>
      </c>
      <c r="M25" s="1">
        <v>0</v>
      </c>
      <c r="N25" s="2">
        <f t="shared" si="0"/>
        <v>274201.03283365566</v>
      </c>
    </row>
    <row r="26" spans="1:14" ht="23" hidden="1" customHeight="1">
      <c r="A26" s="8" t="s">
        <v>21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2">
        <f t="shared" si="0"/>
        <v>0</v>
      </c>
    </row>
    <row r="27" spans="1:14" ht="23" customHeight="1">
      <c r="A27" s="8" t="s">
        <v>5</v>
      </c>
      <c r="B27" s="1">
        <v>0</v>
      </c>
      <c r="C27" s="1">
        <v>602464.26</v>
      </c>
      <c r="D27" s="1">
        <v>0</v>
      </c>
      <c r="E27" s="1">
        <v>263662.4611327895</v>
      </c>
      <c r="F27" s="1">
        <v>74007.278653846151</v>
      </c>
      <c r="G27" s="1">
        <v>111146.98324324324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2">
        <f t="shared" si="0"/>
        <v>1051280.9830298789</v>
      </c>
    </row>
    <row r="28" spans="1:14" ht="23" hidden="1" customHeight="1">
      <c r="A28" s="8" t="s">
        <v>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2">
        <f t="shared" si="0"/>
        <v>0</v>
      </c>
    </row>
    <row r="29" spans="1:14" ht="23" customHeight="1">
      <c r="A29" s="8" t="s">
        <v>18</v>
      </c>
      <c r="B29" s="1">
        <v>0</v>
      </c>
      <c r="C29" s="1">
        <v>0</v>
      </c>
      <c r="D29" s="1">
        <v>12319.5</v>
      </c>
      <c r="E29" s="1">
        <v>4549.7872340425529</v>
      </c>
      <c r="F29" s="1">
        <v>0</v>
      </c>
      <c r="G29" s="1">
        <v>0</v>
      </c>
      <c r="H29" s="1">
        <v>0</v>
      </c>
      <c r="I29" s="1">
        <v>0</v>
      </c>
      <c r="J29" s="1">
        <v>67724.42</v>
      </c>
      <c r="K29" s="1">
        <v>512576.76</v>
      </c>
      <c r="L29" s="1">
        <v>0</v>
      </c>
      <c r="M29" s="1">
        <v>0</v>
      </c>
      <c r="N29" s="2">
        <f t="shared" si="0"/>
        <v>597170.46723404259</v>
      </c>
    </row>
    <row r="30" spans="1:14" ht="23" customHeight="1">
      <c r="A30" s="8" t="s">
        <v>2</v>
      </c>
      <c r="B30" s="1">
        <v>0</v>
      </c>
      <c r="C30" s="1">
        <v>0</v>
      </c>
      <c r="D30" s="1">
        <v>0</v>
      </c>
      <c r="E30" s="1">
        <v>1791.4893617021276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1791.4893617021276</v>
      </c>
    </row>
    <row r="31" spans="1:14" ht="23" hidden="1" customHeight="1">
      <c r="A31" s="8" t="s">
        <v>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2">
        <f t="shared" si="0"/>
        <v>0</v>
      </c>
    </row>
    <row r="32" spans="1:14" ht="23" customHeight="1">
      <c r="A32" s="8" t="s">
        <v>9</v>
      </c>
      <c r="B32" s="1">
        <v>0</v>
      </c>
      <c r="C32" s="1">
        <v>0</v>
      </c>
      <c r="D32" s="1">
        <v>0</v>
      </c>
      <c r="E32" s="1">
        <v>4549.7872340425529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0"/>
        <v>4549.7872340425529</v>
      </c>
    </row>
    <row r="33" spans="1:14" ht="23" hidden="1" customHeight="1">
      <c r="A33" s="8" t="s">
        <v>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2">
        <f t="shared" si="0"/>
        <v>0</v>
      </c>
    </row>
    <row r="34" spans="1:14" ht="23" customHeight="1">
      <c r="A34" s="8" t="s">
        <v>17</v>
      </c>
      <c r="B34" s="1">
        <v>0</v>
      </c>
      <c r="C34" s="1">
        <v>0</v>
      </c>
      <c r="D34" s="1">
        <v>0</v>
      </c>
      <c r="E34" s="1">
        <v>6824.6808510638293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35715.838509316774</v>
      </c>
      <c r="M34" s="1">
        <v>0</v>
      </c>
      <c r="N34" s="2">
        <f t="shared" si="0"/>
        <v>42540.519360380604</v>
      </c>
    </row>
    <row r="35" spans="1:14" ht="23" hidden="1" customHeight="1">
      <c r="A35" s="8" t="s">
        <v>11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2">
        <f t="shared" si="0"/>
        <v>0</v>
      </c>
    </row>
    <row r="36" spans="1:14" ht="23" customHeight="1">
      <c r="A36" s="8" t="s">
        <v>19</v>
      </c>
      <c r="B36" s="1">
        <v>0</v>
      </c>
      <c r="C36" s="1">
        <v>0</v>
      </c>
      <c r="D36" s="1">
        <v>0</v>
      </c>
      <c r="E36" s="1">
        <v>68249.361702127659</v>
      </c>
      <c r="F36" s="1">
        <v>80917.366608695651</v>
      </c>
      <c r="G36" s="1">
        <v>0</v>
      </c>
      <c r="H36" s="1">
        <v>0</v>
      </c>
      <c r="I36" s="1">
        <v>96610.669090909083</v>
      </c>
      <c r="J36" s="1">
        <v>39500</v>
      </c>
      <c r="K36" s="1">
        <v>0</v>
      </c>
      <c r="L36" s="1">
        <v>138953.0509774274</v>
      </c>
      <c r="M36" s="1">
        <v>22030.999476383073</v>
      </c>
      <c r="N36" s="2">
        <f t="shared" si="0"/>
        <v>446261.44785554288</v>
      </c>
    </row>
    <row r="37" spans="1:14" ht="23" customHeight="1">
      <c r="A37" s="8" t="s">
        <v>0</v>
      </c>
      <c r="B37" s="1">
        <v>0</v>
      </c>
      <c r="C37" s="1">
        <v>0</v>
      </c>
      <c r="D37" s="1">
        <v>102510.5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2">
        <f t="shared" si="0"/>
        <v>102510.5</v>
      </c>
    </row>
    <row r="38" spans="1:14" ht="23" customHeight="1">
      <c r="A38" s="8" t="s">
        <v>22</v>
      </c>
      <c r="B38" s="1">
        <v>66158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f t="shared" si="0"/>
        <v>66158</v>
      </c>
    </row>
    <row r="39" spans="1:14" ht="23" customHeight="1">
      <c r="A39" s="8" t="s">
        <v>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393568.96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2">
        <f t="shared" si="0"/>
        <v>393568.96</v>
      </c>
    </row>
    <row r="40" spans="1:14" ht="23" customHeight="1" thickBot="1">
      <c r="A40" s="8"/>
      <c r="B40" s="3">
        <f>SUM(B3:B39)</f>
        <v>66158</v>
      </c>
      <c r="C40" s="3">
        <f t="shared" ref="C40:M40" si="1">SUM(C3:C39)</f>
        <v>602464.26</v>
      </c>
      <c r="D40" s="3">
        <f t="shared" si="1"/>
        <v>114830</v>
      </c>
      <c r="E40" s="3">
        <f t="shared" si="1"/>
        <v>920667.19999999984</v>
      </c>
      <c r="F40" s="3">
        <f t="shared" si="1"/>
        <v>618383.65999999992</v>
      </c>
      <c r="G40" s="3">
        <f t="shared" si="1"/>
        <v>326504.53999999998</v>
      </c>
      <c r="H40" s="3">
        <f t="shared" si="1"/>
        <v>393568.96</v>
      </c>
      <c r="I40" s="3">
        <f t="shared" si="1"/>
        <v>98182.26</v>
      </c>
      <c r="J40" s="3">
        <f t="shared" si="1"/>
        <v>107224.42</v>
      </c>
      <c r="K40" s="3">
        <f t="shared" si="1"/>
        <v>512576.76</v>
      </c>
      <c r="L40" s="3">
        <f t="shared" si="1"/>
        <v>946088.84999999986</v>
      </c>
      <c r="M40" s="3">
        <f t="shared" si="1"/>
        <v>236875</v>
      </c>
      <c r="N40" s="3">
        <f>SUM(N3:N39)</f>
        <v>4943523.9100000011</v>
      </c>
    </row>
    <row r="41" spans="1:14" ht="17" thickTop="1"/>
  </sheetData>
  <autoFilter ref="A2:N40" xr:uid="{FC3C24DD-D166-9246-BA43-A8A16DE81A30}">
    <filterColumn colId="13">
      <filters>
        <filter val="1,051,280.98"/>
        <filter val="1,791.49"/>
        <filter val="101,699.57"/>
        <filter val="102,510.50"/>
        <filter val="113,949.05"/>
        <filter val="2,072.86"/>
        <filter val="20,905.14"/>
        <filter val="218,223.73"/>
        <filter val="25,741.11"/>
        <filter val="261,660.56"/>
        <filter val="263,592.96"/>
        <filter val="274,201.03"/>
        <filter val="291,818.89"/>
        <filter val="30,935.38"/>
        <filter val="368,796.21"/>
        <filter val="393,568.96"/>
        <filter val="4,549.79"/>
        <filter val="4,943,523.91"/>
        <filter val="42,540.52"/>
        <filter val="446,261.45"/>
        <filter val="58,113.79"/>
        <filter val="58,885.59"/>
        <filter val="59,719.15"/>
        <filter val="597,170.47"/>
        <filter val="66,158.00"/>
        <filter val="87,376.72"/>
      </filters>
    </filterColumn>
  </autoFilter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66C6-3661-B14D-8421-1B2984EC6D83}">
  <sheetPr filterMode="1">
    <tabColor rgb="FF00FA00"/>
  </sheetPr>
  <dimension ref="A1:N39"/>
  <sheetViews>
    <sheetView zoomScale="90" zoomScaleNormal="90" workbookViewId="0"/>
  </sheetViews>
  <sheetFormatPr baseColWidth="10" defaultRowHeight="16"/>
  <cols>
    <col min="1" max="1" width="24.7109375" customWidth="1"/>
    <col min="2" max="14" width="16.7109375" customWidth="1"/>
  </cols>
  <sheetData>
    <row r="1" spans="1:14" ht="37" customHeight="1">
      <c r="A1" s="4">
        <v>46054</v>
      </c>
      <c r="B1" s="6"/>
      <c r="C1" s="6"/>
      <c r="D1" s="6"/>
      <c r="E1" s="6"/>
    </row>
    <row r="2" spans="1:14" ht="84">
      <c r="A2" s="7" t="s">
        <v>52</v>
      </c>
      <c r="B2" s="5" t="s">
        <v>32</v>
      </c>
      <c r="C2" s="5" t="s">
        <v>53</v>
      </c>
      <c r="D2" s="5" t="s">
        <v>33</v>
      </c>
      <c r="E2" s="5" t="s">
        <v>44</v>
      </c>
      <c r="F2" s="5" t="s">
        <v>54</v>
      </c>
      <c r="G2" s="5" t="s">
        <v>34</v>
      </c>
      <c r="H2" s="5" t="s">
        <v>1</v>
      </c>
      <c r="I2" s="5" t="s">
        <v>35</v>
      </c>
      <c r="J2" s="5" t="s">
        <v>55</v>
      </c>
      <c r="K2" s="5" t="s">
        <v>45</v>
      </c>
      <c r="L2" s="5" t="s">
        <v>46</v>
      </c>
      <c r="M2" s="5" t="s">
        <v>56</v>
      </c>
      <c r="N2" s="5" t="s">
        <v>20</v>
      </c>
    </row>
    <row r="3" spans="1:14" ht="23" customHeight="1">
      <c r="A3" s="8" t="s">
        <v>40</v>
      </c>
      <c r="B3" s="1">
        <v>0</v>
      </c>
      <c r="C3" s="1">
        <v>0</v>
      </c>
      <c r="D3" s="1">
        <v>0</v>
      </c>
      <c r="E3" s="1">
        <v>0</v>
      </c>
      <c r="F3" s="1">
        <v>39671.973796791441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">
        <f>SUM(B3:M3)</f>
        <v>39671.973796791441</v>
      </c>
    </row>
    <row r="4" spans="1:14" ht="23" customHeight="1">
      <c r="A4" s="8" t="s">
        <v>41</v>
      </c>
      <c r="B4" s="1">
        <v>0</v>
      </c>
      <c r="C4" s="1">
        <v>0</v>
      </c>
      <c r="D4" s="1">
        <v>0</v>
      </c>
      <c r="E4" s="1">
        <v>0</v>
      </c>
      <c r="F4" s="1">
        <v>32253.254323842561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2">
        <f t="shared" ref="N4:N37" si="0">SUM(B4:M4)</f>
        <v>32253.254323842561</v>
      </c>
    </row>
    <row r="5" spans="1:14" ht="23" hidden="1" customHeight="1">
      <c r="A5" s="8" t="s">
        <v>42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>
        <f t="shared" si="0"/>
        <v>0</v>
      </c>
    </row>
    <row r="6" spans="1:14" ht="23" hidden="1" customHeight="1">
      <c r="A6" s="8" t="s">
        <v>43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f t="shared" si="0"/>
        <v>0</v>
      </c>
    </row>
    <row r="7" spans="1:14" ht="23" customHeight="1">
      <c r="A7" s="8" t="s">
        <v>39</v>
      </c>
      <c r="B7" s="1">
        <v>0</v>
      </c>
      <c r="C7" s="1">
        <v>0</v>
      </c>
      <c r="D7" s="1">
        <v>0</v>
      </c>
      <c r="E7" s="1">
        <v>34319.066462948816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f t="shared" si="0"/>
        <v>34319.066462948816</v>
      </c>
    </row>
    <row r="8" spans="1:14" ht="23" customHeight="1">
      <c r="A8" s="8" t="s">
        <v>27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15166.67</v>
      </c>
      <c r="H8" s="1">
        <v>0</v>
      </c>
      <c r="I8" s="1">
        <v>0</v>
      </c>
      <c r="J8" s="1">
        <v>0</v>
      </c>
      <c r="K8" s="1">
        <v>0</v>
      </c>
      <c r="L8" s="1">
        <v>29139.333333333336</v>
      </c>
      <c r="M8" s="1">
        <v>19702.702702702703</v>
      </c>
      <c r="N8" s="2">
        <f t="shared" si="0"/>
        <v>64008.706036036034</v>
      </c>
    </row>
    <row r="9" spans="1:14" ht="23" customHeight="1">
      <c r="A9" s="8" t="s">
        <v>28</v>
      </c>
      <c r="B9" s="1">
        <v>0</v>
      </c>
      <c r="C9" s="1">
        <v>0</v>
      </c>
      <c r="D9" s="1">
        <v>0</v>
      </c>
      <c r="E9" s="1">
        <v>103477.71428571429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2">
        <f t="shared" si="0"/>
        <v>103477.71428571429</v>
      </c>
    </row>
    <row r="10" spans="1:14" ht="23" customHeight="1">
      <c r="A10" s="8" t="s">
        <v>29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8861.4402852049916</v>
      </c>
      <c r="M10" s="1">
        <v>3420.2222222222222</v>
      </c>
      <c r="N10" s="2">
        <f t="shared" si="0"/>
        <v>12281.662507427214</v>
      </c>
    </row>
    <row r="11" spans="1:14" ht="23" customHeight="1">
      <c r="A11" s="8" t="s">
        <v>30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15731.253333333334</v>
      </c>
      <c r="N11" s="2">
        <f t="shared" si="0"/>
        <v>15731.253333333334</v>
      </c>
    </row>
    <row r="12" spans="1:14" ht="23" customHeight="1">
      <c r="A12" s="8" t="s">
        <v>31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35403.710998217466</v>
      </c>
      <c r="H12" s="1">
        <v>0</v>
      </c>
      <c r="I12" s="1">
        <v>0</v>
      </c>
      <c r="J12" s="1">
        <v>0</v>
      </c>
      <c r="K12" s="1">
        <v>0</v>
      </c>
      <c r="L12" s="1">
        <v>176729.7326339914</v>
      </c>
      <c r="M12" s="1">
        <v>78072.701494063716</v>
      </c>
      <c r="N12" s="2">
        <f t="shared" si="0"/>
        <v>290206.14512627257</v>
      </c>
    </row>
    <row r="13" spans="1:14" ht="23" hidden="1" customHeight="1">
      <c r="A13" s="8" t="s">
        <v>26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>
        <f t="shared" si="0"/>
        <v>0</v>
      </c>
    </row>
    <row r="14" spans="1:14" ht="23" hidden="1" customHeight="1">
      <c r="A14" s="8" t="s">
        <v>23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f t="shared" si="0"/>
        <v>0</v>
      </c>
    </row>
    <row r="15" spans="1:14" ht="23" hidden="1" customHeight="1">
      <c r="A15" s="8" t="s">
        <v>24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2">
        <f t="shared" si="0"/>
        <v>0</v>
      </c>
    </row>
    <row r="16" spans="1:14" ht="23" customHeight="1">
      <c r="A16" s="8" t="s">
        <v>16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21121.719393939391</v>
      </c>
      <c r="H16" s="1">
        <v>0</v>
      </c>
      <c r="I16" s="1">
        <v>0</v>
      </c>
      <c r="J16" s="1">
        <v>0</v>
      </c>
      <c r="K16" s="1">
        <v>0</v>
      </c>
      <c r="L16" s="1">
        <v>269825.93277981051</v>
      </c>
      <c r="M16" s="1">
        <v>0</v>
      </c>
      <c r="N16" s="2">
        <f t="shared" si="0"/>
        <v>290947.65217374987</v>
      </c>
    </row>
    <row r="17" spans="1:14" ht="23" customHeight="1">
      <c r="A17" s="8" t="s">
        <v>6</v>
      </c>
      <c r="B17" s="1">
        <v>0</v>
      </c>
      <c r="C17" s="1">
        <v>0</v>
      </c>
      <c r="D17" s="1">
        <v>0</v>
      </c>
      <c r="E17" s="1">
        <v>2970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2">
        <f t="shared" si="0"/>
        <v>2970</v>
      </c>
    </row>
    <row r="18" spans="1:14" ht="23" customHeight="1">
      <c r="A18" s="8" t="s">
        <v>12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3297.6470588235293</v>
      </c>
      <c r="H18" s="1">
        <v>0</v>
      </c>
      <c r="I18" s="1">
        <v>0</v>
      </c>
      <c r="J18" s="1">
        <v>0</v>
      </c>
      <c r="K18" s="1">
        <v>0</v>
      </c>
      <c r="L18" s="1">
        <v>98742.5026737968</v>
      </c>
      <c r="M18" s="1">
        <v>43469.762352941172</v>
      </c>
      <c r="N18" s="2">
        <f t="shared" si="0"/>
        <v>145509.91208556149</v>
      </c>
    </row>
    <row r="19" spans="1:14" ht="23" customHeight="1">
      <c r="A19" s="8" t="s">
        <v>8</v>
      </c>
      <c r="B19" s="1">
        <v>0</v>
      </c>
      <c r="C19" s="1">
        <v>0</v>
      </c>
      <c r="D19" s="1">
        <v>0</v>
      </c>
      <c r="E19" s="1">
        <v>0</v>
      </c>
      <c r="F19" s="1">
        <v>312602.12660869944</v>
      </c>
      <c r="G19" s="1">
        <v>44109.647058823524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2">
        <f t="shared" si="0"/>
        <v>356711.77366752294</v>
      </c>
    </row>
    <row r="20" spans="1:14" ht="23" customHeight="1">
      <c r="A20" s="8" t="s">
        <v>14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40292.45989304813</v>
      </c>
      <c r="M20" s="1">
        <v>0</v>
      </c>
      <c r="N20" s="2">
        <f t="shared" si="0"/>
        <v>40292.45989304813</v>
      </c>
    </row>
    <row r="21" spans="1:14" ht="23" customHeight="1">
      <c r="A21" s="8" t="s">
        <v>15</v>
      </c>
      <c r="B21" s="1">
        <v>0</v>
      </c>
      <c r="C21" s="1">
        <v>0</v>
      </c>
      <c r="D21" s="1">
        <v>0</v>
      </c>
      <c r="E21" s="1">
        <v>227154.9</v>
      </c>
      <c r="F21" s="1">
        <v>0</v>
      </c>
      <c r="G21" s="1">
        <v>41218.850784313719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2">
        <f t="shared" si="0"/>
        <v>268373.75078431371</v>
      </c>
    </row>
    <row r="22" spans="1:14" ht="23" customHeight="1">
      <c r="A22" s="8" t="s">
        <v>13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46120.133402334541</v>
      </c>
      <c r="M22" s="1">
        <v>0</v>
      </c>
      <c r="N22" s="2">
        <f t="shared" si="0"/>
        <v>46120.133402334541</v>
      </c>
    </row>
    <row r="23" spans="1:14" ht="23" customHeight="1">
      <c r="A23" s="8" t="s">
        <v>7</v>
      </c>
      <c r="B23" s="1">
        <v>0</v>
      </c>
      <c r="C23" s="1">
        <v>0</v>
      </c>
      <c r="D23" s="1">
        <v>0</v>
      </c>
      <c r="E23" s="1">
        <v>247471.52226890757</v>
      </c>
      <c r="F23" s="1">
        <v>0</v>
      </c>
      <c r="G23" s="1">
        <v>33895.294117647056</v>
      </c>
      <c r="H23" s="1">
        <v>0</v>
      </c>
      <c r="I23" s="1">
        <v>18197.36842105263</v>
      </c>
      <c r="J23" s="1">
        <v>0</v>
      </c>
      <c r="K23" s="1">
        <v>0</v>
      </c>
      <c r="L23" s="1">
        <v>0</v>
      </c>
      <c r="M23" s="1">
        <v>0</v>
      </c>
      <c r="N23" s="2">
        <f t="shared" si="0"/>
        <v>299564.18480760726</v>
      </c>
    </row>
    <row r="24" spans="1:14" ht="23" hidden="1" customHeight="1">
      <c r="A24" s="8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0</v>
      </c>
    </row>
    <row r="25" spans="1:14" ht="23" customHeight="1">
      <c r="A25" s="8" t="s">
        <v>5</v>
      </c>
      <c r="B25" s="1">
        <v>0</v>
      </c>
      <c r="C25" s="1">
        <v>619636.5</v>
      </c>
      <c r="D25" s="1">
        <v>0</v>
      </c>
      <c r="E25" s="1">
        <v>212584.31168831169</v>
      </c>
      <c r="F25" s="1">
        <v>58357.32345248475</v>
      </c>
      <c r="G25" s="1">
        <v>147367.24058823529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2">
        <f t="shared" si="0"/>
        <v>1037945.3757290317</v>
      </c>
    </row>
    <row r="26" spans="1:14" ht="23" customHeight="1">
      <c r="A26" s="8" t="s">
        <v>4</v>
      </c>
      <c r="B26" s="1">
        <v>0</v>
      </c>
      <c r="C26" s="1">
        <v>0</v>
      </c>
      <c r="D26" s="1">
        <v>0</v>
      </c>
      <c r="E26" s="1">
        <v>1238.2352941176471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2">
        <f t="shared" si="0"/>
        <v>1238.2352941176471</v>
      </c>
    </row>
    <row r="27" spans="1:14" ht="23" customHeight="1">
      <c r="A27" s="8" t="s">
        <v>18</v>
      </c>
      <c r="B27" s="1">
        <v>0</v>
      </c>
      <c r="C27" s="1">
        <v>0</v>
      </c>
      <c r="D27" s="1">
        <v>12319.5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67939.33</v>
      </c>
      <c r="K27" s="1">
        <v>488516.24</v>
      </c>
      <c r="L27" s="1">
        <v>3614.705882352941</v>
      </c>
      <c r="M27" s="1">
        <v>0</v>
      </c>
      <c r="N27" s="2">
        <f t="shared" si="0"/>
        <v>572389.77588235284</v>
      </c>
    </row>
    <row r="28" spans="1:14" ht="23" hidden="1" customHeight="1">
      <c r="A28" s="8" t="s">
        <v>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2">
        <f t="shared" si="0"/>
        <v>0</v>
      </c>
    </row>
    <row r="29" spans="1:14" ht="23" hidden="1" customHeight="1">
      <c r="A29" s="8" t="s">
        <v>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2">
        <f t="shared" si="0"/>
        <v>0</v>
      </c>
    </row>
    <row r="30" spans="1:14" ht="23" customHeight="1">
      <c r="A30" s="8" t="s">
        <v>9</v>
      </c>
      <c r="B30" s="1">
        <v>0</v>
      </c>
      <c r="C30" s="1">
        <v>0</v>
      </c>
      <c r="D30" s="1">
        <v>0</v>
      </c>
      <c r="E30" s="1">
        <v>5940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5940</v>
      </c>
    </row>
    <row r="31" spans="1:14" ht="23" hidden="1" customHeight="1">
      <c r="A31" s="8" t="s">
        <v>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2">
        <f t="shared" si="0"/>
        <v>0</v>
      </c>
    </row>
    <row r="32" spans="1:14" ht="23" customHeight="1">
      <c r="A32" s="8" t="s">
        <v>17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29951.818181818184</v>
      </c>
      <c r="M32" s="1">
        <v>0</v>
      </c>
      <c r="N32" s="2">
        <f t="shared" si="0"/>
        <v>29951.818181818184</v>
      </c>
    </row>
    <row r="33" spans="1:14" ht="23" hidden="1" customHeight="1">
      <c r="A33" s="8" t="s">
        <v>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2">
        <f t="shared" si="0"/>
        <v>0</v>
      </c>
    </row>
    <row r="34" spans="1:14" ht="23" customHeight="1">
      <c r="A34" s="8" t="s">
        <v>19</v>
      </c>
      <c r="B34" s="1">
        <v>0</v>
      </c>
      <c r="C34" s="1">
        <v>0</v>
      </c>
      <c r="D34" s="1">
        <v>0</v>
      </c>
      <c r="E34" s="1">
        <v>81330</v>
      </c>
      <c r="F34" s="1">
        <v>72378.181818181823</v>
      </c>
      <c r="G34" s="1">
        <v>0</v>
      </c>
      <c r="H34" s="1">
        <v>0</v>
      </c>
      <c r="I34" s="1">
        <v>50952.631578947367</v>
      </c>
      <c r="J34" s="1">
        <v>39500</v>
      </c>
      <c r="K34" s="1">
        <v>0</v>
      </c>
      <c r="L34" s="1">
        <v>267734.26093430922</v>
      </c>
      <c r="M34" s="1">
        <v>76278.357894736837</v>
      </c>
      <c r="N34" s="2">
        <f t="shared" si="0"/>
        <v>588173.43222617521</v>
      </c>
    </row>
    <row r="35" spans="1:14" ht="23" customHeight="1">
      <c r="A35" s="8" t="s">
        <v>0</v>
      </c>
      <c r="B35" s="1">
        <v>0</v>
      </c>
      <c r="C35" s="1">
        <v>0</v>
      </c>
      <c r="D35" s="1">
        <v>102510.5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2">
        <f t="shared" si="0"/>
        <v>102510.5</v>
      </c>
    </row>
    <row r="36" spans="1:14" ht="23" customHeight="1">
      <c r="A36" s="8" t="s">
        <v>22</v>
      </c>
      <c r="B36" s="1">
        <v>69758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2">
        <f t="shared" si="0"/>
        <v>69758</v>
      </c>
    </row>
    <row r="37" spans="1:14" ht="23" customHeight="1">
      <c r="A37" s="8" t="s">
        <v>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405030.25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2">
        <f t="shared" si="0"/>
        <v>405030.25</v>
      </c>
    </row>
    <row r="38" spans="1:14" ht="23" customHeight="1" thickBot="1">
      <c r="A38" s="8"/>
      <c r="B38" s="9">
        <f>SUBTOTAL(9,B3:B37)</f>
        <v>69758</v>
      </c>
      <c r="C38" s="9">
        <f t="shared" ref="C38:M38" si="1">SUBTOTAL(9,C3:C37)</f>
        <v>619636.5</v>
      </c>
      <c r="D38" s="9">
        <f t="shared" si="1"/>
        <v>114830</v>
      </c>
      <c r="E38" s="9">
        <f t="shared" si="1"/>
        <v>916485.75</v>
      </c>
      <c r="F38" s="9">
        <f t="shared" si="1"/>
        <v>515262.86</v>
      </c>
      <c r="G38" s="9">
        <f t="shared" si="1"/>
        <v>341580.77999999997</v>
      </c>
      <c r="H38" s="9">
        <f t="shared" si="1"/>
        <v>405030.25</v>
      </c>
      <c r="I38" s="9">
        <f t="shared" si="1"/>
        <v>69150</v>
      </c>
      <c r="J38" s="9">
        <f t="shared" si="1"/>
        <v>107439.33</v>
      </c>
      <c r="K38" s="9">
        <f t="shared" si="1"/>
        <v>488516.24</v>
      </c>
      <c r="L38" s="9">
        <f t="shared" si="1"/>
        <v>971012.32000000007</v>
      </c>
      <c r="M38" s="9">
        <f t="shared" si="1"/>
        <v>236675</v>
      </c>
      <c r="N38" s="3">
        <f>SUM(N3:N37)</f>
        <v>4855377.03</v>
      </c>
    </row>
    <row r="39" spans="1:14" ht="17" thickTop="1"/>
  </sheetData>
  <autoFilter ref="A2:N37" xr:uid="{ADC566C6-3661-B14D-8421-1B2984EC6D83}">
    <filterColumn colId="13">
      <filters>
        <filter val="1,037,945.38"/>
        <filter val="1,238.24"/>
        <filter val="102,510.50"/>
        <filter val="103,477.71"/>
        <filter val="12,281.66"/>
        <filter val="145,509.91"/>
        <filter val="15,731.25"/>
        <filter val="2,970.00"/>
        <filter val="268,373.75"/>
        <filter val="29,951.82"/>
        <filter val="290,206.15"/>
        <filter val="290,947.65"/>
        <filter val="299,564.18"/>
        <filter val="32,253.25"/>
        <filter val="34,319.07"/>
        <filter val="356,711.77"/>
        <filter val="39,671.97"/>
        <filter val="40,292.46"/>
        <filter val="405,030.25"/>
        <filter val="46,120.13"/>
        <filter val="5,940.00"/>
        <filter val="572,389.78"/>
        <filter val="588,173.43"/>
        <filter val="64,008.71"/>
        <filter val="69,758.00"/>
      </filters>
    </filterColumn>
  </autoFilter>
  <phoneticPr fontId="2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B5C6-5712-B043-8E92-10D93DF4EE95}">
  <sheetPr filterMode="1">
    <tabColor rgb="FF9437FF"/>
  </sheetPr>
  <dimension ref="A1:N34"/>
  <sheetViews>
    <sheetView zoomScale="90" zoomScaleNormal="90" workbookViewId="0"/>
  </sheetViews>
  <sheetFormatPr baseColWidth="10" defaultRowHeight="16"/>
  <cols>
    <col min="1" max="1" width="24.7109375" customWidth="1"/>
    <col min="2" max="14" width="16.7109375" customWidth="1"/>
  </cols>
  <sheetData>
    <row r="1" spans="1:14" ht="37" customHeight="1">
      <c r="A1" s="4">
        <v>46023</v>
      </c>
      <c r="B1" s="6"/>
      <c r="C1" s="6"/>
      <c r="D1" s="6"/>
      <c r="E1" s="6"/>
    </row>
    <row r="2" spans="1:14" ht="84">
      <c r="A2" s="7" t="s">
        <v>25</v>
      </c>
      <c r="B2" s="5" t="s">
        <v>32</v>
      </c>
      <c r="C2" s="5" t="s">
        <v>53</v>
      </c>
      <c r="D2" s="5" t="s">
        <v>33</v>
      </c>
      <c r="E2" s="5" t="s">
        <v>44</v>
      </c>
      <c r="F2" s="5" t="s">
        <v>54</v>
      </c>
      <c r="G2" s="5" t="s">
        <v>34</v>
      </c>
      <c r="H2" s="5" t="s">
        <v>1</v>
      </c>
      <c r="I2" s="5" t="s">
        <v>35</v>
      </c>
      <c r="J2" s="5" t="s">
        <v>55</v>
      </c>
      <c r="K2" s="5" t="s">
        <v>45</v>
      </c>
      <c r="L2" s="5" t="s">
        <v>46</v>
      </c>
      <c r="M2" s="5" t="s">
        <v>56</v>
      </c>
      <c r="N2" s="5" t="s">
        <v>20</v>
      </c>
    </row>
    <row r="3" spans="1:14" ht="23" customHeight="1">
      <c r="A3" s="8" t="s">
        <v>39</v>
      </c>
      <c r="B3" s="1">
        <v>0</v>
      </c>
      <c r="C3" s="1">
        <v>0</v>
      </c>
      <c r="D3" s="1">
        <v>0</v>
      </c>
      <c r="E3" s="1">
        <v>54280.393454545454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">
        <f>SUM(B3:M3)</f>
        <v>54280.393454545454</v>
      </c>
    </row>
    <row r="4" spans="1:14" ht="23" customHeight="1">
      <c r="A4" s="8" t="s">
        <v>27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75207.819708715062</v>
      </c>
      <c r="M4" s="1">
        <v>12268.579583333334</v>
      </c>
      <c r="N4" s="2">
        <f t="shared" ref="N4:N32" si="0">SUM(B4:M4)</f>
        <v>87476.399292048402</v>
      </c>
    </row>
    <row r="5" spans="1:14" ht="23" customHeight="1">
      <c r="A5" s="8" t="s">
        <v>28</v>
      </c>
      <c r="B5" s="1">
        <v>0</v>
      </c>
      <c r="C5" s="1">
        <v>0</v>
      </c>
      <c r="D5" s="1">
        <v>0</v>
      </c>
      <c r="E5" s="1">
        <v>167493.68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>
        <f t="shared" si="0"/>
        <v>167493.68</v>
      </c>
    </row>
    <row r="6" spans="1:14" ht="23" customHeight="1">
      <c r="A6" s="8" t="s">
        <v>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9172.111757575758</v>
      </c>
      <c r="M6" s="1">
        <v>8640</v>
      </c>
      <c r="N6" s="2">
        <f t="shared" si="0"/>
        <v>17812.11175757576</v>
      </c>
    </row>
    <row r="7" spans="1:14" ht="23" customHeight="1">
      <c r="A7" s="8" t="s">
        <v>30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5640.909090909091</v>
      </c>
      <c r="M7" s="1">
        <v>19829.302325581393</v>
      </c>
      <c r="N7" s="2">
        <f t="shared" si="0"/>
        <v>25470.211416490485</v>
      </c>
    </row>
    <row r="8" spans="1:14" ht="23" customHeight="1">
      <c r="A8" s="8" t="s">
        <v>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31057.382325581391</v>
      </c>
      <c r="H8" s="1">
        <v>0</v>
      </c>
      <c r="I8" s="1">
        <v>0</v>
      </c>
      <c r="J8" s="1">
        <v>0</v>
      </c>
      <c r="K8" s="1">
        <v>0</v>
      </c>
      <c r="L8" s="1">
        <v>328133.96105840651</v>
      </c>
      <c r="M8" s="1">
        <v>128859.49432364342</v>
      </c>
      <c r="N8" s="2">
        <f t="shared" si="0"/>
        <v>488050.83770763129</v>
      </c>
    </row>
    <row r="9" spans="1:14" ht="23" customHeight="1">
      <c r="A9" s="8" t="s">
        <v>26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6202.7906976744189</v>
      </c>
      <c r="H9" s="1">
        <v>0</v>
      </c>
      <c r="I9" s="1">
        <v>0</v>
      </c>
      <c r="J9" s="1">
        <v>0</v>
      </c>
      <c r="K9" s="1">
        <v>0</v>
      </c>
      <c r="L9" s="1">
        <v>16340.90909090909</v>
      </c>
      <c r="M9" s="1">
        <v>16501.39534883721</v>
      </c>
      <c r="N9" s="2">
        <f t="shared" si="0"/>
        <v>39045.095137420722</v>
      </c>
    </row>
    <row r="10" spans="1:14" ht="23" hidden="1" customHeight="1">
      <c r="A10" s="8" t="s">
        <v>23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f t="shared" si="0"/>
        <v>0</v>
      </c>
    </row>
    <row r="11" spans="1:14" ht="23" hidden="1" customHeight="1">
      <c r="A11" s="8" t="s">
        <v>24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2">
        <f t="shared" si="0"/>
        <v>0</v>
      </c>
    </row>
    <row r="12" spans="1:14" ht="23" customHeight="1">
      <c r="A12" s="8" t="s">
        <v>16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13988.850697674417</v>
      </c>
      <c r="H12" s="1">
        <v>0</v>
      </c>
      <c r="I12" s="1">
        <v>0</v>
      </c>
      <c r="J12" s="1">
        <v>0</v>
      </c>
      <c r="K12" s="1">
        <v>0</v>
      </c>
      <c r="L12" s="1">
        <v>350676.86623905611</v>
      </c>
      <c r="M12" s="1">
        <v>0</v>
      </c>
      <c r="N12" s="2">
        <f t="shared" si="0"/>
        <v>364665.71693673055</v>
      </c>
    </row>
    <row r="13" spans="1:14" ht="23" customHeight="1">
      <c r="A13" s="8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230495.98852310481</v>
      </c>
      <c r="M13" s="1">
        <v>74305.813953488367</v>
      </c>
      <c r="N13" s="2">
        <f t="shared" si="0"/>
        <v>304801.80247659318</v>
      </c>
    </row>
    <row r="14" spans="1:14" ht="23" customHeight="1">
      <c r="A14" s="8" t="s">
        <v>8</v>
      </c>
      <c r="B14" s="1">
        <v>0</v>
      </c>
      <c r="C14" s="1">
        <v>0</v>
      </c>
      <c r="D14" s="1">
        <v>0</v>
      </c>
      <c r="E14" s="1">
        <v>13706</v>
      </c>
      <c r="F14" s="1">
        <v>624643.33302325581</v>
      </c>
      <c r="G14" s="1">
        <v>94842.112506459947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f t="shared" si="0"/>
        <v>733191.44552971574</v>
      </c>
    </row>
    <row r="15" spans="1:14" ht="23" customHeight="1">
      <c r="A15" s="8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81365.134453781502</v>
      </c>
      <c r="M15" s="1">
        <v>0</v>
      </c>
      <c r="N15" s="2">
        <f t="shared" si="0"/>
        <v>81365.134453781502</v>
      </c>
    </row>
    <row r="16" spans="1:14" ht="23" customHeight="1">
      <c r="A16" s="8" t="s">
        <v>15</v>
      </c>
      <c r="B16" s="1">
        <v>0</v>
      </c>
      <c r="C16" s="1">
        <v>0</v>
      </c>
      <c r="D16" s="1">
        <v>0</v>
      </c>
      <c r="E16" s="1">
        <v>489616.0754545455</v>
      </c>
      <c r="F16" s="1">
        <v>0</v>
      </c>
      <c r="G16" s="1">
        <v>50233.888888888891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>
        <f t="shared" si="0"/>
        <v>539849.96434343443</v>
      </c>
    </row>
    <row r="17" spans="1:14" ht="23" customHeight="1">
      <c r="A17" s="8" t="s">
        <v>13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142828.45113570488</v>
      </c>
      <c r="M17" s="1">
        <v>0</v>
      </c>
      <c r="N17" s="2">
        <f t="shared" si="0"/>
        <v>142828.45113570488</v>
      </c>
    </row>
    <row r="18" spans="1:14" ht="23" customHeight="1">
      <c r="A18" s="8" t="s">
        <v>7</v>
      </c>
      <c r="B18" s="1">
        <v>0</v>
      </c>
      <c r="C18" s="1">
        <v>0</v>
      </c>
      <c r="D18" s="1">
        <v>0</v>
      </c>
      <c r="E18" s="1">
        <v>433866.31883720931</v>
      </c>
      <c r="F18" s="1">
        <v>0</v>
      </c>
      <c r="G18" s="1">
        <v>54228.922093023255</v>
      </c>
      <c r="H18" s="1">
        <v>0</v>
      </c>
      <c r="I18" s="1">
        <v>144085.71428571429</v>
      </c>
      <c r="J18" s="1">
        <v>0</v>
      </c>
      <c r="K18" s="1">
        <v>0</v>
      </c>
      <c r="L18" s="1">
        <v>0</v>
      </c>
      <c r="M18" s="1">
        <v>0</v>
      </c>
      <c r="N18" s="2">
        <f t="shared" si="0"/>
        <v>632180.95521594689</v>
      </c>
    </row>
    <row r="19" spans="1:14" ht="23" hidden="1" customHeight="1">
      <c r="A19" s="8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2">
        <f t="shared" si="0"/>
        <v>0</v>
      </c>
    </row>
    <row r="20" spans="1:14" ht="23" customHeight="1">
      <c r="A20" s="8" t="s">
        <v>5</v>
      </c>
      <c r="B20" s="1">
        <v>0</v>
      </c>
      <c r="C20" s="1">
        <v>1822524.5499999998</v>
      </c>
      <c r="D20" s="1">
        <v>10000</v>
      </c>
      <c r="E20" s="1">
        <v>634284.4810909091</v>
      </c>
      <c r="F20" s="1">
        <v>208032.26</v>
      </c>
      <c r="G20" s="1">
        <v>329726.6613953489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f t="shared" si="0"/>
        <v>3004567.9524862575</v>
      </c>
    </row>
    <row r="21" spans="1:14" ht="23" customHeight="1">
      <c r="A21" s="8" t="s">
        <v>4</v>
      </c>
      <c r="B21" s="1">
        <v>0</v>
      </c>
      <c r="C21" s="1">
        <v>0</v>
      </c>
      <c r="D21" s="1">
        <v>0</v>
      </c>
      <c r="E21" s="1">
        <v>1704.6511627906978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2">
        <f t="shared" si="0"/>
        <v>1704.6511627906978</v>
      </c>
    </row>
    <row r="22" spans="1:14" ht="23" customHeight="1">
      <c r="A22" s="8" t="s">
        <v>18</v>
      </c>
      <c r="B22" s="1">
        <v>350000</v>
      </c>
      <c r="C22" s="1">
        <v>0</v>
      </c>
      <c r="D22" s="1">
        <v>53740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211726.35</v>
      </c>
      <c r="K22" s="1">
        <v>1852930.29</v>
      </c>
      <c r="L22" s="1">
        <v>74148.484848484848</v>
      </c>
      <c r="M22" s="1">
        <v>0</v>
      </c>
      <c r="N22" s="2">
        <f t="shared" si="0"/>
        <v>2542545.124848485</v>
      </c>
    </row>
    <row r="23" spans="1:14" ht="23" hidden="1" customHeight="1">
      <c r="A23" s="8" t="s">
        <v>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2">
        <f t="shared" si="0"/>
        <v>0</v>
      </c>
    </row>
    <row r="24" spans="1:14" ht="23" hidden="1" customHeight="1">
      <c r="A24" s="8" t="s">
        <v>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2">
        <f t="shared" si="0"/>
        <v>0</v>
      </c>
    </row>
    <row r="25" spans="1:14" ht="23" customHeight="1">
      <c r="A25" s="8" t="s">
        <v>9</v>
      </c>
      <c r="B25" s="1">
        <v>0</v>
      </c>
      <c r="C25" s="1">
        <v>0</v>
      </c>
      <c r="D25" s="1">
        <v>0</v>
      </c>
      <c r="E25" s="1">
        <v>13706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2">
        <f t="shared" si="0"/>
        <v>13706</v>
      </c>
    </row>
    <row r="26" spans="1:14" ht="23" hidden="1" customHeight="1">
      <c r="A26" s="8" t="s">
        <v>10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2">
        <f t="shared" si="0"/>
        <v>0</v>
      </c>
    </row>
    <row r="27" spans="1:14" ht="23" customHeight="1">
      <c r="A27" s="8" t="s">
        <v>17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12405.581395348838</v>
      </c>
      <c r="H27" s="1">
        <v>0</v>
      </c>
      <c r="I27" s="1">
        <v>0</v>
      </c>
      <c r="J27" s="1">
        <v>0</v>
      </c>
      <c r="K27" s="1">
        <v>0</v>
      </c>
      <c r="L27" s="1">
        <v>68163.636363636368</v>
      </c>
      <c r="M27" s="1">
        <v>0</v>
      </c>
      <c r="N27" s="2">
        <f t="shared" si="0"/>
        <v>80569.217758985207</v>
      </c>
    </row>
    <row r="28" spans="1:14" ht="23" hidden="1" customHeight="1">
      <c r="A28" s="8" t="s">
        <v>11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2">
        <f t="shared" si="0"/>
        <v>0</v>
      </c>
    </row>
    <row r="29" spans="1:14" ht="23" customHeight="1">
      <c r="A29" s="8" t="s">
        <v>19</v>
      </c>
      <c r="B29" s="1">
        <v>0</v>
      </c>
      <c r="C29" s="1">
        <v>0</v>
      </c>
      <c r="D29" s="1">
        <v>0</v>
      </c>
      <c r="E29" s="1">
        <v>113695.14</v>
      </c>
      <c r="F29" s="1">
        <v>167527.90697674418</v>
      </c>
      <c r="G29" s="1">
        <v>0</v>
      </c>
      <c r="H29" s="1">
        <v>0</v>
      </c>
      <c r="I29" s="1">
        <v>3514.2857142857142</v>
      </c>
      <c r="J29" s="1">
        <v>49286.31</v>
      </c>
      <c r="K29" s="1">
        <v>0</v>
      </c>
      <c r="L29" s="1">
        <v>554328.37772971613</v>
      </c>
      <c r="M29" s="1">
        <v>172228.98446511629</v>
      </c>
      <c r="N29" s="2">
        <f t="shared" si="0"/>
        <v>1060581.0048858623</v>
      </c>
    </row>
    <row r="30" spans="1:14" ht="23" customHeight="1">
      <c r="A30" s="8" t="s">
        <v>0</v>
      </c>
      <c r="B30" s="1">
        <v>0</v>
      </c>
      <c r="C30" s="1">
        <v>0</v>
      </c>
      <c r="D30" s="1">
        <v>195470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2">
        <f t="shared" si="0"/>
        <v>195470</v>
      </c>
    </row>
    <row r="31" spans="1:14" ht="23" customHeight="1">
      <c r="A31" s="8" t="s">
        <v>22</v>
      </c>
      <c r="B31" s="1">
        <v>166580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2">
        <f t="shared" si="0"/>
        <v>166580</v>
      </c>
    </row>
    <row r="32" spans="1:14" ht="23" customHeight="1">
      <c r="A32" s="8" t="s">
        <v>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749234.63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f t="shared" si="0"/>
        <v>749234.63</v>
      </c>
    </row>
    <row r="33" spans="2:14" ht="23" customHeight="1" thickBot="1">
      <c r="B33" s="9">
        <f>SUBTOTAL(9,B3:B32)</f>
        <v>516580</v>
      </c>
      <c r="C33" s="9">
        <f t="shared" ref="C33:M33" si="1">SUBTOTAL(9,C3:C32)</f>
        <v>1822524.5499999998</v>
      </c>
      <c r="D33" s="9">
        <f t="shared" si="1"/>
        <v>259210</v>
      </c>
      <c r="E33" s="9">
        <f t="shared" si="1"/>
        <v>1922352.74</v>
      </c>
      <c r="F33" s="9">
        <f t="shared" si="1"/>
        <v>1000203.5</v>
      </c>
      <c r="G33" s="9">
        <f t="shared" si="1"/>
        <v>592686.19000000006</v>
      </c>
      <c r="H33" s="9">
        <f t="shared" si="1"/>
        <v>749234.63</v>
      </c>
      <c r="I33" s="9">
        <f t="shared" si="1"/>
        <v>147600</v>
      </c>
      <c r="J33" s="9">
        <f t="shared" si="1"/>
        <v>261012.66</v>
      </c>
      <c r="K33" s="9">
        <f t="shared" si="1"/>
        <v>1852930.29</v>
      </c>
      <c r="L33" s="9">
        <f t="shared" si="1"/>
        <v>1936502.6500000004</v>
      </c>
      <c r="M33" s="9">
        <f t="shared" si="1"/>
        <v>432633.57000000007</v>
      </c>
      <c r="N33" s="3">
        <f>SUM(N3:N32)</f>
        <v>11493470.779999999</v>
      </c>
    </row>
    <row r="34" spans="2:14" ht="17" thickTop="1"/>
  </sheetData>
  <autoFilter ref="A2:N32" xr:uid="{3CF9B5C6-5712-B043-8E92-10D93DF4EE95}">
    <filterColumn colId="13">
      <filters>
        <filter val="1,060,581.00"/>
        <filter val="1,704.65"/>
        <filter val="13,706.00"/>
        <filter val="142,828.45"/>
        <filter val="166,580.00"/>
        <filter val="167,493.68"/>
        <filter val="17,812.11"/>
        <filter val="195,470.00"/>
        <filter val="2,542,545.12"/>
        <filter val="25,470.21"/>
        <filter val="3,004,567.95"/>
        <filter val="304,801.80"/>
        <filter val="364,665.72"/>
        <filter val="39,045.10"/>
        <filter val="488,050.84"/>
        <filter val="539,849.96"/>
        <filter val="54,280.39"/>
        <filter val="632,180.96"/>
        <filter val="733,191.45"/>
        <filter val="749,234.63"/>
        <filter val="80,569.22"/>
        <filter val="81,365.13"/>
        <filter val="87,476.40"/>
      </filters>
    </filterColumn>
  </autoFilter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Aug 26</vt:lpstr>
      <vt:lpstr>Jul 26</vt:lpstr>
      <vt:lpstr>Jun 26</vt:lpstr>
      <vt:lpstr>May 26</vt:lpstr>
      <vt:lpstr>Apr 26</vt:lpstr>
      <vt:lpstr>Mar 26</vt:lpstr>
      <vt:lpstr>Feb 26</vt:lpstr>
      <vt:lpstr>Jan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</dc:creator>
  <cp:lastModifiedBy>Sze</cp:lastModifiedBy>
  <dcterms:created xsi:type="dcterms:W3CDTF">2025-03-10T09:43:22Z</dcterms:created>
  <dcterms:modified xsi:type="dcterms:W3CDTF">2026-09-21T04:02:47Z</dcterms:modified>
</cp:coreProperties>
</file>